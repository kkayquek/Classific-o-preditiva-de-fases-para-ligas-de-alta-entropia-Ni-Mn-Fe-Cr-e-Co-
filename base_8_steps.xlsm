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/>
  <workbookPr/>
  <mc:AlternateContent xmlns:mc="http://schemas.openxmlformats.org/markup-compatibility/2006">
    <mc:Choice Requires="x15">
      <x15ac:absPath xmlns:x15ac="http://schemas.microsoft.com/office/spreadsheetml/2010/11/ac" url="C:\Users\Kayque Rodrigues\Downloads\"/>
    </mc:Choice>
  </mc:AlternateContent>
  <xr:revisionPtr revIDLastSave="0" documentId="13_ncr:1_{E29BDC7C-42DD-4D8E-8171-95CC4CA59572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table_outpu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2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2" i="1"/>
</calcChain>
</file>

<file path=xl/sharedStrings.xml><?xml version="1.0" encoding="utf-8"?>
<sst xmlns="http://schemas.openxmlformats.org/spreadsheetml/2006/main" count="1601" uniqueCount="1128">
  <si>
    <t>CalculationName</t>
  </si>
  <si>
    <t>AlloyChemistry</t>
  </si>
  <si>
    <t>T</t>
  </si>
  <si>
    <t>phase_name</t>
  </si>
  <si>
    <t>H</t>
  </si>
  <si>
    <t>f(@Fcc)</t>
  </si>
  <si>
    <t>f(@CUB_A13)</t>
  </si>
  <si>
    <t>f(@MnNi_Beta)</t>
  </si>
  <si>
    <t>f(@Sigma)</t>
  </si>
  <si>
    <t>f(@Bcc)</t>
  </si>
  <si>
    <t>eVal(#1@Fcc)</t>
  </si>
  <si>
    <t>eVal(#2@Fcc)</t>
  </si>
  <si>
    <t>eVal(#1@CUB_A13)</t>
  </si>
  <si>
    <t>eVal(#1@MnNi_Beta)</t>
  </si>
  <si>
    <t>eVal(#2@MnNi_Beta)</t>
  </si>
  <si>
    <t>eVal(#1@Sigma)</t>
  </si>
  <si>
    <t>eVal(#2@Sigma)</t>
  </si>
  <si>
    <t>eVal(#2@CUB_A13)</t>
  </si>
  <si>
    <t>eVal(#3@Fcc)</t>
  </si>
  <si>
    <t>eVal(#3@Sigma)</t>
  </si>
  <si>
    <t>eVal(#1@Bcc)</t>
  </si>
  <si>
    <t>eVal(#2@Bcc)</t>
  </si>
  <si>
    <t>eVal(#3@Bcc)</t>
  </si>
  <si>
    <t>eVal(#3@CUB_A13)</t>
  </si>
  <si>
    <t>eVal(#4@Fcc)</t>
  </si>
  <si>
    <t>eVal(#4@Sigma)</t>
  </si>
  <si>
    <t>eVal(#4@Bcc)</t>
  </si>
  <si>
    <t>eVec(Mn#1@Fcc)</t>
  </si>
  <si>
    <t>eVec(Ni#1@Fcc)</t>
  </si>
  <si>
    <t>eVec(Fe#1@Fcc)</t>
  </si>
  <si>
    <t>eVec(Fe#2@Fcc)</t>
  </si>
  <si>
    <t>eVec(Mn#2@Fcc)</t>
  </si>
  <si>
    <t>eVec(Ni#2@Fcc)</t>
  </si>
  <si>
    <t>eVec(Fe#1@CUB_A13)</t>
  </si>
  <si>
    <t>eVec(Mn#1@CUB_A13)</t>
  </si>
  <si>
    <t>eVec(Fe#1@MnNi_Beta)</t>
  </si>
  <si>
    <t>eVec(Mn#1@MnNi_Beta)</t>
  </si>
  <si>
    <t>eVec(Cr#1@Fcc)</t>
  </si>
  <si>
    <t>eVec(Cr#2@Fcc)</t>
  </si>
  <si>
    <t>eVec(Cr#1@MnNi_Beta)</t>
  </si>
  <si>
    <t>eVec(Ni#1@MnNi_Beta)</t>
  </si>
  <si>
    <t>eVec(Cr#2@MnNi_Beta)</t>
  </si>
  <si>
    <t>eVec(Mn#2@MnNi_Beta)</t>
  </si>
  <si>
    <t>eVec(Ni#2@MnNi_Beta)</t>
  </si>
  <si>
    <t>eVec(Cr#1@Sigma)</t>
  </si>
  <si>
    <t>eVec(Mn#1@Sigma)</t>
  </si>
  <si>
    <t>eVec(Ni#1@Sigma)</t>
  </si>
  <si>
    <t>eVec(Cr#2@Sigma)</t>
  </si>
  <si>
    <t>eVec(Mn#2@Sigma)</t>
  </si>
  <si>
    <t>eVec(Ni#2@Sigma)</t>
  </si>
  <si>
    <t>eVec(Cr#1@CUB_A13)</t>
  </si>
  <si>
    <t>eVec(Ni#1@CUB_A13)</t>
  </si>
  <si>
    <t>eVec(Cr#2@CUB_A13)</t>
  </si>
  <si>
    <t>eVec(Mn#2@CUB_A13)</t>
  </si>
  <si>
    <t>eVec(Ni#2@CUB_A13)</t>
  </si>
  <si>
    <t>eVec(Cr#3@Fcc)</t>
  </si>
  <si>
    <t>eVec(Fe#3@Fcc)</t>
  </si>
  <si>
    <t>eVec(Mn#3@Fcc)</t>
  </si>
  <si>
    <t>eVec(Ni#3@Fcc)</t>
  </si>
  <si>
    <t>eVec(Fe#1@Sigma)</t>
  </si>
  <si>
    <t>eVec(Fe#2@Sigma)</t>
  </si>
  <si>
    <t>eVec(Cr#3@Sigma)</t>
  </si>
  <si>
    <t>eVec(Fe#3@Sigma)</t>
  </si>
  <si>
    <t>eVec(Mn#3@Sigma)</t>
  </si>
  <si>
    <t>eVec(Ni#3@Sigma)</t>
  </si>
  <si>
    <t>eVec(Fe#2@CUB_A13)</t>
  </si>
  <si>
    <t>eVec(Cr#1@Bcc)</t>
  </si>
  <si>
    <t>eVec(Mn#1@Bcc)</t>
  </si>
  <si>
    <t>eVec(Fe#1@Bcc)</t>
  </si>
  <si>
    <t>eVec(Ni#1@Bcc)</t>
  </si>
  <si>
    <t>eVec(Cr#2@Bcc)</t>
  </si>
  <si>
    <t>eVec(Fe#2@Bcc)</t>
  </si>
  <si>
    <t>eVec(Mn#2@Bcc)</t>
  </si>
  <si>
    <t>eVec(Ni#2@Bcc)</t>
  </si>
  <si>
    <t>eVec(Cr#3@Bcc)</t>
  </si>
  <si>
    <t>eVec(Fe#3@Bcc)</t>
  </si>
  <si>
    <t>eVec(Mn#3@Bcc)</t>
  </si>
  <si>
    <t>eVec(Ni#3@Bcc)</t>
  </si>
  <si>
    <t>eVec(Co#1@Fcc)</t>
  </si>
  <si>
    <t>eVec(Co#2@Fcc)</t>
  </si>
  <si>
    <t>eVec(Co#1@CUB_A13)</t>
  </si>
  <si>
    <t>eVec(Co#3@Fcc)</t>
  </si>
  <si>
    <t>eVec(Co#2@CUB_A13)</t>
  </si>
  <si>
    <t>eVec(Co#3@CUB_A13)</t>
  </si>
  <si>
    <t>eVec(Cr#3@CUB_A13)</t>
  </si>
  <si>
    <t>eVec(Mn#3@CUB_A13)</t>
  </si>
  <si>
    <t>eVec(Ni#3@CUB_A13)</t>
  </si>
  <si>
    <t>eVec(Co#1@Sigma)</t>
  </si>
  <si>
    <t>eVec(Co#2@Sigma)</t>
  </si>
  <si>
    <t>eVec(Co#3@Sigma)</t>
  </si>
  <si>
    <t>eVec(Co#4@Fcc)</t>
  </si>
  <si>
    <t>eVec(Cr#4@Fcc)</t>
  </si>
  <si>
    <t>eVec(Fe#4@Fcc)</t>
  </si>
  <si>
    <t>eVec(Mn#4@Fcc)</t>
  </si>
  <si>
    <t>eVec(Ni#4@Fcc)</t>
  </si>
  <si>
    <t>eVec(Fe#3@CUB_A13)</t>
  </si>
  <si>
    <t>eVec(Co#4@Sigma)</t>
  </si>
  <si>
    <t>eVec(Cr#4@Sigma)</t>
  </si>
  <si>
    <t>eVec(Fe#4@Sigma)</t>
  </si>
  <si>
    <t>eVec(Mn#4@Sigma)</t>
  </si>
  <si>
    <t>eVec(Ni#4@Sigma)</t>
  </si>
  <si>
    <t>eVec(Co#1@Bcc)</t>
  </si>
  <si>
    <t>eVec(Co#2@Bcc)</t>
  </si>
  <si>
    <t>eVec(Co#3@Bcc)</t>
  </si>
  <si>
    <t>eVec(Co#4@Bcc)</t>
  </si>
  <si>
    <t>eVec(Cr#4@Bcc)</t>
  </si>
  <si>
    <t>eVec(Fe#4@Bcc)</t>
  </si>
  <si>
    <t>eVec(Mn#4@Bcc)</t>
  </si>
  <si>
    <t>eVec(Ni#4@Bcc)</t>
  </si>
  <si>
    <t>Point Calculation</t>
  </si>
  <si>
    <t>0Co+0Cr+0Fe+0Mn+100Ni in x%</t>
  </si>
  <si>
    <t>Fcc</t>
  </si>
  <si>
    <t>Point Calculation_1</t>
  </si>
  <si>
    <t>0Co+0Cr+0Fe+12.5Mn+87.5Ni in x%</t>
  </si>
  <si>
    <t>Point Calculation_2</t>
  </si>
  <si>
    <t>0Co+0Cr+0Fe+25Mn+75Ni in x%</t>
  </si>
  <si>
    <t>Point Calculation_3</t>
  </si>
  <si>
    <t>0Co+0Cr+0Fe+37.5Mn+62.5Ni in x%</t>
  </si>
  <si>
    <t>Point Calculation_4</t>
  </si>
  <si>
    <t>0Co+0Cr+0Fe+50Mn+50Ni in x%</t>
  </si>
  <si>
    <t>Point Calculation_5</t>
  </si>
  <si>
    <t>0Co+0Cr+0Fe+62.5Mn+37.5Ni in x%</t>
  </si>
  <si>
    <t>Point Calculation_6</t>
  </si>
  <si>
    <t>0Co+0Cr+0Fe+75Mn+25Ni in x%</t>
  </si>
  <si>
    <t>Point Calculation_7</t>
  </si>
  <si>
    <t>0Co+0Cr+0Fe+87.5Mn+12.5Ni in x%</t>
  </si>
  <si>
    <t>Point Calculation_8</t>
  </si>
  <si>
    <t>0Co+0Cr+0Fe+100Mn+0Ni in x%</t>
  </si>
  <si>
    <t>CUB_A13</t>
  </si>
  <si>
    <t>Point Calculation_9</t>
  </si>
  <si>
    <t>0Co+0Cr+12.5Fe+0Mn+87.5Ni in x%</t>
  </si>
  <si>
    <t>Point Calculation_10</t>
  </si>
  <si>
    <t>0Co+0Cr+12.5Fe+12.5Mn+75Ni in x%</t>
  </si>
  <si>
    <t>Point Calculation_11</t>
  </si>
  <si>
    <t>0Co+0Cr+12.5Fe+25Mn+62.5Ni in x%</t>
  </si>
  <si>
    <t>Point Calculation_12</t>
  </si>
  <si>
    <t>0Co+0Cr+12.5Fe+37.5Mn+50Ni in x%</t>
  </si>
  <si>
    <t>Point Calculation_13</t>
  </si>
  <si>
    <t>0Co+0Cr+12.5Fe+50Mn+37.5Ni in x%</t>
  </si>
  <si>
    <t>Point Calculation_14</t>
  </si>
  <si>
    <t>0Co+0Cr+12.5Fe+62.5Mn+25Ni in x%</t>
  </si>
  <si>
    <t>Point Calculation_15</t>
  </si>
  <si>
    <t>0Co+0Cr+12.5Fe+75Mn+12.5Ni in x%</t>
  </si>
  <si>
    <t>Point Calculation_16</t>
  </si>
  <si>
    <t>0Co+0Cr+12.5Fe+87.5Mn+0Ni in x%</t>
  </si>
  <si>
    <t>Point Calculation_17</t>
  </si>
  <si>
    <t>0Co+0Cr+25Fe+0Mn+75Ni in x%</t>
  </si>
  <si>
    <t>Point Calculation_18</t>
  </si>
  <si>
    <t>0Co+0Cr+25Fe+12.5Mn+62.5Ni in x%</t>
  </si>
  <si>
    <t>Point Calculation_19</t>
  </si>
  <si>
    <t>0Co+0Cr+25Fe+25Mn+50Ni in x%</t>
  </si>
  <si>
    <t>Point Calculation_20</t>
  </si>
  <si>
    <t>0Co+0Cr+25Fe+37.5Mn+37.5Ni in x%</t>
  </si>
  <si>
    <t>Point Calculation_21</t>
  </si>
  <si>
    <t>0Co+0Cr+25Fe+50Mn+25Ni in x%</t>
  </si>
  <si>
    <t>Point Calculation_22</t>
  </si>
  <si>
    <t>0Co+0Cr+25Fe+62.5Mn+12.5Ni in x%</t>
  </si>
  <si>
    <t>Point Calculation_23</t>
  </si>
  <si>
    <t>0Co+0Cr+25Fe+75Mn+0Ni in x%</t>
  </si>
  <si>
    <t>Point Calculation_24</t>
  </si>
  <si>
    <t>0Co+0Cr+37.5Fe+0Mn+62.5Ni in x%</t>
  </si>
  <si>
    <t>Point Calculation_25</t>
  </si>
  <si>
    <t>0Co+0Cr+37.5Fe+12.5Mn+50Ni in x%</t>
  </si>
  <si>
    <t>Point Calculation_26</t>
  </si>
  <si>
    <t>0Co+0Cr+37.5Fe+25Mn+37.5Ni in x%</t>
  </si>
  <si>
    <t>Point Calculation_27</t>
  </si>
  <si>
    <t>0Co+0Cr+37.5Fe+37.5Mn+25Ni in x%</t>
  </si>
  <si>
    <t>Point Calculation_28</t>
  </si>
  <si>
    <t>0Co+0Cr+37.5Fe+50Mn+12.5Ni in x%</t>
  </si>
  <si>
    <t>Point Calculation_29</t>
  </si>
  <si>
    <t>0Co+0Cr+37.5Fe+62.5Mn+0Ni in x%</t>
  </si>
  <si>
    <t>Point Calculation_30</t>
  </si>
  <si>
    <t>0Co+0Cr+50Fe+0Mn+50Ni in x%</t>
  </si>
  <si>
    <t>Point Calculation_31</t>
  </si>
  <si>
    <t>0Co+0Cr+50Fe+12.5Mn+37.5Ni in x%</t>
  </si>
  <si>
    <t>Point Calculation_32</t>
  </si>
  <si>
    <t>0Co+0Cr+50Fe+25Mn+25Ni in x%</t>
  </si>
  <si>
    <t>Point Calculation_33</t>
  </si>
  <si>
    <t>0Co+0Cr+50Fe+37.5Mn+12.5Ni in x%</t>
  </si>
  <si>
    <t>Point Calculation_34</t>
  </si>
  <si>
    <t>0Co+0Cr+50Fe+50Mn+0Ni in x%</t>
  </si>
  <si>
    <t>Point Calculation_35</t>
  </si>
  <si>
    <t>0Co+0Cr+62.5Fe+0Mn+37.5Ni in x%</t>
  </si>
  <si>
    <t>Point Calculation_36</t>
  </si>
  <si>
    <t>0Co+0Cr+62.5Fe+12.5Mn+25Ni in x%</t>
  </si>
  <si>
    <t>Point Calculation_37</t>
  </si>
  <si>
    <t>0Co+0Cr+62.5Fe+25Mn+12.5Ni in x%</t>
  </si>
  <si>
    <t>Point Calculation_38</t>
  </si>
  <si>
    <t>0Co+0Cr+62.5Fe+37.5Mn+0Ni in x%</t>
  </si>
  <si>
    <t>Point Calculation_39</t>
  </si>
  <si>
    <t>0Co+0Cr+75Fe+0Mn+25Ni in x%</t>
  </si>
  <si>
    <t>Point Calculation_40</t>
  </si>
  <si>
    <t>0Co+0Cr+75Fe+12.5Mn+12.5Ni in x%</t>
  </si>
  <si>
    <t>Point Calculation_41</t>
  </si>
  <si>
    <t>0Co+0Cr+75Fe+25Mn+0Ni in x%</t>
  </si>
  <si>
    <t>Point Calculation_42</t>
  </si>
  <si>
    <t>0Co+0Cr+87.5Fe+0Mn+12.5Ni in x%</t>
  </si>
  <si>
    <t>Point Calculation_43</t>
  </si>
  <si>
    <t>0Co+0Cr+87.5Fe+12.5Mn+0Ni in x%</t>
  </si>
  <si>
    <t>MnNi_Beta</t>
  </si>
  <si>
    <t>Point Calculation_44</t>
  </si>
  <si>
    <t>0Co+0Cr+100Fe+0Mn+0Ni in x%</t>
  </si>
  <si>
    <t>Point Calculation_45</t>
  </si>
  <si>
    <t>0Co+12.5Cr+0Fe+0Mn+87.5Ni in x%</t>
  </si>
  <si>
    <t>Point Calculation_46</t>
  </si>
  <si>
    <t>0Co+12.5Cr+0Fe+12.5Mn+75Ni in x%</t>
  </si>
  <si>
    <t>Point Calculation_47</t>
  </si>
  <si>
    <t>0Co+12.5Cr+0Fe+25Mn+62.5Ni in x%</t>
  </si>
  <si>
    <t>Point Calculation_48</t>
  </si>
  <si>
    <t>0Co+12.5Cr+0Fe+37.5Mn+50Ni in x%</t>
  </si>
  <si>
    <t>Fcc+MnNi_Beta</t>
  </si>
  <si>
    <t>Point Calculation_49</t>
  </si>
  <si>
    <t>0Co+12.5Cr+0Fe+50Mn+37.5Ni in x%</t>
  </si>
  <si>
    <t>Point Calculation_50</t>
  </si>
  <si>
    <t>0Co+12.5Cr+0Fe+62.5Mn+25Ni in x%</t>
  </si>
  <si>
    <t>Fcc+Sigma</t>
  </si>
  <si>
    <t>Point Calculation_51</t>
  </si>
  <si>
    <t>0Co+12.5Cr+0Fe+75Mn+12.5Ni in x%</t>
  </si>
  <si>
    <t>CUB_A13+Sigma+Fcc</t>
  </si>
  <si>
    <t>Point Calculation_52</t>
  </si>
  <si>
    <t>0Co+12.5Cr+0Fe+87.5Mn+0Ni in x%</t>
  </si>
  <si>
    <t>Sigma+CUB_A13</t>
  </si>
  <si>
    <t>Point Calculation_53</t>
  </si>
  <si>
    <t>0Co+12.5Cr+12.5Fe+0Mn+75Ni in x%</t>
  </si>
  <si>
    <t>Point Calculation_54</t>
  </si>
  <si>
    <t>0Co+12.5Cr+12.5Fe+12.5Mn+62.5Ni in x%</t>
  </si>
  <si>
    <t>Point Calculation_55</t>
  </si>
  <si>
    <t>0Co+12.5Cr+12.5Fe+25Mn+50Ni in x%</t>
  </si>
  <si>
    <t>Point Calculation_56</t>
  </si>
  <si>
    <t>0Co+12.5Cr+12.5Fe+37.5Mn+37.5Ni in x%</t>
  </si>
  <si>
    <t>Point Calculation_57</t>
  </si>
  <si>
    <t>0Co+12.5Cr+12.5Fe+50Mn+25Ni in x%</t>
  </si>
  <si>
    <t>Point Calculation_58</t>
  </si>
  <si>
    <t>0Co+12.5Cr+12.5Fe+62.5Mn+12.5Ni in x%</t>
  </si>
  <si>
    <t>Point Calculation_59</t>
  </si>
  <si>
    <t>0Co+12.5Cr+12.5Fe+75Mn+0Ni in x%</t>
  </si>
  <si>
    <t>Point Calculation_60</t>
  </si>
  <si>
    <t>0Co+12.5Cr+25Fe+0Mn+62.5Ni in x%</t>
  </si>
  <si>
    <t>Point Calculation_61</t>
  </si>
  <si>
    <t>0Co+12.5Cr+25Fe+12.5Mn+50Ni in x%</t>
  </si>
  <si>
    <t>Point Calculation_62</t>
  </si>
  <si>
    <t>0Co+12.5Cr+25Fe+25Mn+37.5Ni in x%</t>
  </si>
  <si>
    <t>Point Calculation_63</t>
  </si>
  <si>
    <t>0Co+12.5Cr+25Fe+37.5Mn+25Ni in x%</t>
  </si>
  <si>
    <t>Point Calculation_64</t>
  </si>
  <si>
    <t>0Co+12.5Cr+25Fe+50Mn+12.5Ni in x%</t>
  </si>
  <si>
    <t>Point Calculation_65</t>
  </si>
  <si>
    <t>0Co+12.5Cr+25Fe+62.5Mn+0Ni in x%</t>
  </si>
  <si>
    <t>Point Calculation_66</t>
  </si>
  <si>
    <t>0Co+12.5Cr+37.5Fe+0Mn+50Ni in x%</t>
  </si>
  <si>
    <t>Point Calculation_67</t>
  </si>
  <si>
    <t>0Co+12.5Cr+37.5Fe+12.5Mn+37.5Ni in x%</t>
  </si>
  <si>
    <t>Point Calculation_68</t>
  </si>
  <si>
    <t>0Co+12.5Cr+37.5Fe+25Mn+25Ni in x%</t>
  </si>
  <si>
    <t>Point Calculation_69</t>
  </si>
  <si>
    <t>0Co+12.5Cr+37.5Fe+37.5Mn+12.5Ni in x%</t>
  </si>
  <si>
    <t>Point Calculation_70</t>
  </si>
  <si>
    <t>0Co+12.5Cr+37.5Fe+50Mn+0Ni in x%</t>
  </si>
  <si>
    <t>Point Calculation_71</t>
  </si>
  <si>
    <t>0Co+12.5Cr+50Fe+0Mn+37.5Ni in x%</t>
  </si>
  <si>
    <t>Point Calculation_72</t>
  </si>
  <si>
    <t>0Co+12.5Cr+50Fe+12.5Mn+25Ni in x%</t>
  </si>
  <si>
    <t>Point Calculation_73</t>
  </si>
  <si>
    <t>0Co+12.5Cr+50Fe+25Mn+12.5Ni in x%</t>
  </si>
  <si>
    <t>Point Calculation_74</t>
  </si>
  <si>
    <t>0Co+12.5Cr+50Fe+37.5Mn+0Ni in x%</t>
  </si>
  <si>
    <t>Point Calculation_75</t>
  </si>
  <si>
    <t>0Co+12.5Cr+62.5Fe+0Mn+25Ni in x%</t>
  </si>
  <si>
    <t>Point Calculation_76</t>
  </si>
  <si>
    <t>0Co+12.5Cr+62.5Fe+12.5Mn+12.5Ni in x%</t>
  </si>
  <si>
    <t>Point Calculation_77</t>
  </si>
  <si>
    <t>0Co+12.5Cr+62.5Fe+25Mn+0Ni in x%</t>
  </si>
  <si>
    <t>Point Calculation_78</t>
  </si>
  <si>
    <t>0Co+12.5Cr+75Fe+0Mn+12.5Ni in x%</t>
  </si>
  <si>
    <t>Point Calculation_79</t>
  </si>
  <si>
    <t>0Co+12.5Cr+75Fe+12.5Mn+0Ni in x%</t>
  </si>
  <si>
    <t>Point Calculation_80</t>
  </si>
  <si>
    <t>0Co+12.5Cr+87.5Fe+0Mn+0Ni in x%</t>
  </si>
  <si>
    <t>Point Calculation_81</t>
  </si>
  <si>
    <t>0Co+25Cr+0Fe+0Mn+75Ni in x%</t>
  </si>
  <si>
    <t>Point Calculation_82</t>
  </si>
  <si>
    <t>0Co+25Cr+0Fe+12.5Mn+62.5Ni in x%</t>
  </si>
  <si>
    <t>Point Calculation_83</t>
  </si>
  <si>
    <t>0Co+25Cr+0Fe+25Mn+50Ni in x%</t>
  </si>
  <si>
    <t>Point Calculation_84</t>
  </si>
  <si>
    <t>0Co+25Cr+0Fe+37.5Mn+37.5Ni in x%</t>
  </si>
  <si>
    <t>Point Calculation_85</t>
  </si>
  <si>
    <t>0Co+25Cr+0Fe+50Mn+25Ni in x%</t>
  </si>
  <si>
    <t>Fcc+MnNi_Beta+Sigma</t>
  </si>
  <si>
    <t>Point Calculation_86</t>
  </si>
  <si>
    <t>0Co+25Cr+0Fe+62.5Mn+12.5Ni in x%</t>
  </si>
  <si>
    <t>Sigma+Fcc</t>
  </si>
  <si>
    <t>Point Calculation_87</t>
  </si>
  <si>
    <t>0Co+25Cr+0Fe+75Mn+0Ni in x%</t>
  </si>
  <si>
    <t>Bcc+Sigma</t>
  </si>
  <si>
    <t>Point Calculation_88</t>
  </si>
  <si>
    <t>0Co+25Cr+12.5Fe+0Mn+62.5Ni in x%</t>
  </si>
  <si>
    <t>Point Calculation_89</t>
  </si>
  <si>
    <t>0Co+25Cr+12.5Fe+12.5Mn+50Ni in x%</t>
  </si>
  <si>
    <t>Point Calculation_90</t>
  </si>
  <si>
    <t>0Co+25Cr+12.5Fe+25Mn+37.5Ni in x%</t>
  </si>
  <si>
    <t>Fcc+Bcc</t>
  </si>
  <si>
    <t>Point Calculation_91</t>
  </si>
  <si>
    <t>0Co+25Cr+12.5Fe+37.5Mn+25Ni in x%</t>
  </si>
  <si>
    <t>Point Calculation_92</t>
  </si>
  <si>
    <t>0Co+25Cr+12.5Fe+50Mn+12.5Ni in x%</t>
  </si>
  <si>
    <t>Fcc+Bcc+Sigma</t>
  </si>
  <si>
    <t>Point Calculation_93</t>
  </si>
  <si>
    <t>0Co+25Cr+12.5Fe+62.5Mn+0Ni in x%</t>
  </si>
  <si>
    <t>Point Calculation_94</t>
  </si>
  <si>
    <t>0Co+25Cr+25Fe+0Mn+50Ni in x%</t>
  </si>
  <si>
    <t>Point Calculation_95</t>
  </si>
  <si>
    <t>0Co+25Cr+25Fe+12.5Mn+37.5Ni in x%</t>
  </si>
  <si>
    <t>Point Calculation_96</t>
  </si>
  <si>
    <t>0Co+25Cr+25Fe+25Mn+25Ni in x%</t>
  </si>
  <si>
    <t>Point Calculation_97</t>
  </si>
  <si>
    <t>0Co+25Cr+25Fe+37.5Mn+12.5Ni in x%</t>
  </si>
  <si>
    <t>Point Calculation_98</t>
  </si>
  <si>
    <t>0Co+25Cr+25Fe+50Mn+0Ni in x%</t>
  </si>
  <si>
    <t>Sigma</t>
  </si>
  <si>
    <t>Point Calculation_99</t>
  </si>
  <si>
    <t>0Co+25Cr+37.5Fe+0Mn+37.5Ni in x%</t>
  </si>
  <si>
    <t>Point Calculation_100</t>
  </si>
  <si>
    <t>0Co+25Cr+37.5Fe+12.5Mn+25Ni in x%</t>
  </si>
  <si>
    <t>Point Calculation_101</t>
  </si>
  <si>
    <t>0Co+25Cr+37.5Fe+25Mn+12.5Ni in x%</t>
  </si>
  <si>
    <t>Point Calculation_102</t>
  </si>
  <si>
    <t>0Co+25Cr+37.5Fe+37.5Mn+0Ni in x%</t>
  </si>
  <si>
    <t>Point Calculation_103</t>
  </si>
  <si>
    <t>0Co+25Cr+50Fe+0Mn+25Ni in x%</t>
  </si>
  <si>
    <t>Point Calculation_104</t>
  </si>
  <si>
    <t>0Co+25Cr+50Fe+12.5Mn+12.5Ni in x%</t>
  </si>
  <si>
    <t>Point Calculation_105</t>
  </si>
  <si>
    <t>0Co+25Cr+50Fe+25Mn+0Ni in x%</t>
  </si>
  <si>
    <t>Bcc</t>
  </si>
  <si>
    <t>Point Calculation_106</t>
  </si>
  <si>
    <t>0Co+25Cr+62.5Fe+0Mn+12.5Ni in x%</t>
  </si>
  <si>
    <t>Point Calculation_107</t>
  </si>
  <si>
    <t>0Co+25Cr+62.5Fe+12.5Mn+0Ni in x%</t>
  </si>
  <si>
    <t>Point Calculation_108</t>
  </si>
  <si>
    <t>0Co+25Cr+75Fe+0Mn+0Ni in x%</t>
  </si>
  <si>
    <t>Point Calculation_109</t>
  </si>
  <si>
    <t>0Co+37.5Cr+0Fe+0Mn+62.5Ni in x%</t>
  </si>
  <si>
    <t>Point Calculation_110</t>
  </si>
  <si>
    <t>0Co+37.5Cr+0Fe+12.5Mn+50Ni in x%</t>
  </si>
  <si>
    <t>Point Calculation_111</t>
  </si>
  <si>
    <t>0Co+37.5Cr+0Fe+25Mn+37.5Ni in x%</t>
  </si>
  <si>
    <t>MnNi_Beta+Bcc</t>
  </si>
  <si>
    <t>Point Calculation_112</t>
  </si>
  <si>
    <t>0Co+37.5Cr+0Fe+37.5Mn+25Ni in x%</t>
  </si>
  <si>
    <t>Point Calculation_113</t>
  </si>
  <si>
    <t>0Co+37.5Cr+0Fe+50Mn+12.5Ni in x%</t>
  </si>
  <si>
    <t>Point Calculation_114</t>
  </si>
  <si>
    <t>0Co+37.5Cr+0Fe+62.5Mn+0Ni in x%</t>
  </si>
  <si>
    <t>Point Calculation_115</t>
  </si>
  <si>
    <t>0Co+37.5Cr+12.5Fe+0Mn+50Ni in x%</t>
  </si>
  <si>
    <t>Point Calculation_116</t>
  </si>
  <si>
    <t>0Co+37.5Cr+12.5Fe+12.5Mn+37.5Ni in x%</t>
  </si>
  <si>
    <t>Point Calculation_117</t>
  </si>
  <si>
    <t>0Co+37.5Cr+12.5Fe+25Mn+25Ni in x%</t>
  </si>
  <si>
    <t>Point Calculation_118</t>
  </si>
  <si>
    <t>0Co+37.5Cr+12.5Fe+37.5Mn+12.5Ni in x%</t>
  </si>
  <si>
    <t>Bcc+Fcc</t>
  </si>
  <si>
    <t>Point Calculation_119</t>
  </si>
  <si>
    <t>0Co+37.5Cr+12.5Fe+50Mn+0Ni in x%</t>
  </si>
  <si>
    <t>Point Calculation_120</t>
  </si>
  <si>
    <t>0Co+37.5Cr+25Fe+0Mn+37.5Ni in x%</t>
  </si>
  <si>
    <t>Point Calculation_121</t>
  </si>
  <si>
    <t>0Co+37.5Cr+25Fe+12.5Mn+25Ni in x%</t>
  </si>
  <si>
    <t>Point Calculation_122</t>
  </si>
  <si>
    <t>0Co+37.5Cr+25Fe+25Mn+12.5Ni in x%</t>
  </si>
  <si>
    <t>Point Calculation_123</t>
  </si>
  <si>
    <t>0Co+37.5Cr+25Fe+37.5Mn+0Ni in x%</t>
  </si>
  <si>
    <t>Point Calculation_124</t>
  </si>
  <si>
    <t>0Co+37.5Cr+37.5Fe+0Mn+25Ni in x%</t>
  </si>
  <si>
    <t>Point Calculation_125</t>
  </si>
  <si>
    <t>0Co+37.5Cr+37.5Fe+12.5Mn+12.5Ni in x%</t>
  </si>
  <si>
    <t>Point Calculation_126</t>
  </si>
  <si>
    <t>0Co+37.5Cr+37.5Fe+25Mn+0Ni in x%</t>
  </si>
  <si>
    <t>Point Calculation_127</t>
  </si>
  <si>
    <t>0Co+37.5Cr+50Fe+0Mn+12.5Ni in x%</t>
  </si>
  <si>
    <t>Point Calculation_128</t>
  </si>
  <si>
    <t>0Co+37.5Cr+50Fe+12.5Mn+0Ni in x%</t>
  </si>
  <si>
    <t>Point Calculation_129</t>
  </si>
  <si>
    <t>0Co+37.5Cr+62.5Fe+0Mn+0Ni in x%</t>
  </si>
  <si>
    <t>Point Calculation_130</t>
  </si>
  <si>
    <t>0Co+50Cr+0Fe+0Mn+50Ni in x%</t>
  </si>
  <si>
    <t>Point Calculation_131</t>
  </si>
  <si>
    <t>0Co+50Cr+0Fe+12.5Mn+37.5Ni in x%</t>
  </si>
  <si>
    <t>MnNi_Beta+Bcc+Fcc</t>
  </si>
  <si>
    <t>Point Calculation_132</t>
  </si>
  <si>
    <t>0Co+50Cr+0Fe+25Mn+25Ni in x%</t>
  </si>
  <si>
    <t>Point Calculation_133</t>
  </si>
  <si>
    <t>0Co+50Cr+0Fe+37.5Mn+12.5Ni in x%</t>
  </si>
  <si>
    <t>Bcc+MnNi_Beta+Sigma</t>
  </si>
  <si>
    <t>Point Calculation_134</t>
  </si>
  <si>
    <t>0Co+50Cr+0Fe+50Mn+0Ni in x%</t>
  </si>
  <si>
    <t>Point Calculation_135</t>
  </si>
  <si>
    <t>0Co+50Cr+12.5Fe+0Mn+37.5Ni in x%</t>
  </si>
  <si>
    <t>Point Calculation_136</t>
  </si>
  <si>
    <t>0Co+50Cr+12.5Fe+12.5Mn+25Ni in x%</t>
  </si>
  <si>
    <t>Point Calculation_137</t>
  </si>
  <si>
    <t>0Co+50Cr+12.5Fe+25Mn+12.5Ni in x%</t>
  </si>
  <si>
    <t>Point Calculation_138</t>
  </si>
  <si>
    <t>0Co+50Cr+12.5Fe+37.5Mn+0Ni in x%</t>
  </si>
  <si>
    <t>Point Calculation_139</t>
  </si>
  <si>
    <t>0Co+50Cr+25Fe+0Mn+25Ni in x%</t>
  </si>
  <si>
    <t>Point Calculation_140</t>
  </si>
  <si>
    <t>0Co+50Cr+25Fe+12.5Mn+12.5Ni in x%</t>
  </si>
  <si>
    <t>Point Calculation_141</t>
  </si>
  <si>
    <t>0Co+50Cr+25Fe+25Mn+0Ni in x%</t>
  </si>
  <si>
    <t>Point Calculation_142</t>
  </si>
  <si>
    <t>0Co+50Cr+37.5Fe+0Mn+12.5Ni in x%</t>
  </si>
  <si>
    <t>Point Calculation_143</t>
  </si>
  <si>
    <t>0Co+50Cr+37.5Fe+12.5Mn+0Ni in x%</t>
  </si>
  <si>
    <t>Point Calculation_144</t>
  </si>
  <si>
    <t>0Co+50Cr+50Fe+0Mn+0Ni in x%</t>
  </si>
  <si>
    <t>Point Calculation_145</t>
  </si>
  <si>
    <t>0Co+62.5Cr+0Fe+0Mn+37.5Ni in x%</t>
  </si>
  <si>
    <t>Point Calculation_146</t>
  </si>
  <si>
    <t>0Co+62.5Cr+0Fe+12.5Mn+25Ni in x%</t>
  </si>
  <si>
    <t>Point Calculation_147</t>
  </si>
  <si>
    <t>0Co+62.5Cr+0Fe+25Mn+12.5Ni in x%</t>
  </si>
  <si>
    <t>Bcc+MnNi_Beta</t>
  </si>
  <si>
    <t>Point Calculation_148</t>
  </si>
  <si>
    <t>0Co+62.5Cr+0Fe+37.5Mn+0Ni in x%</t>
  </si>
  <si>
    <t>Point Calculation_149</t>
  </si>
  <si>
    <t>0Co+62.5Cr+12.5Fe+0Mn+25Ni in x%</t>
  </si>
  <si>
    <t>Point Calculation_150</t>
  </si>
  <si>
    <t>0Co+62.5Cr+12.5Fe+12.5Mn+12.5Ni in x%</t>
  </si>
  <si>
    <t>Point Calculation_151</t>
  </si>
  <si>
    <t>0Co+62.5Cr+12.5Fe+25Mn+0Ni in x%</t>
  </si>
  <si>
    <t>Point Calculation_152</t>
  </si>
  <si>
    <t>0Co+62.5Cr+25Fe+0Mn+12.5Ni in x%</t>
  </si>
  <si>
    <t>Point Calculation_153</t>
  </si>
  <si>
    <t>0Co+62.5Cr+25Fe+12.5Mn+0Ni in x%</t>
  </si>
  <si>
    <t>Point Calculation_154</t>
  </si>
  <si>
    <t>0Co+62.5Cr+37.5Fe+0Mn+0Ni in x%</t>
  </si>
  <si>
    <t>Point Calculation_155</t>
  </si>
  <si>
    <t>0Co+75Cr+0Fe+0Mn+25Ni in x%</t>
  </si>
  <si>
    <t>Point Calculation_156</t>
  </si>
  <si>
    <t>0Co+75Cr+0Fe+12.5Mn+12.5Ni in x%</t>
  </si>
  <si>
    <t>Point Calculation_157</t>
  </si>
  <si>
    <t>0Co+75Cr+0Fe+25Mn+0Ni in x%</t>
  </si>
  <si>
    <t>Point Calculation_158</t>
  </si>
  <si>
    <t>0Co+75Cr+12.5Fe+0Mn+12.5Ni in x%</t>
  </si>
  <si>
    <t>Point Calculation_159</t>
  </si>
  <si>
    <t>0Co+75Cr+12.5Fe+12.5Mn+0Ni in x%</t>
  </si>
  <si>
    <t>Point Calculation_160</t>
  </si>
  <si>
    <t>0Co+75Cr+25Fe+0Mn+0Ni in x%</t>
  </si>
  <si>
    <t>Point Calculation_161</t>
  </si>
  <si>
    <t>0Co+87.5Cr+0Fe+0Mn+12.5Ni in x%</t>
  </si>
  <si>
    <t>Point Calculation_162</t>
  </si>
  <si>
    <t>0Co+87.5Cr+0Fe+12.5Mn+0Ni in x%</t>
  </si>
  <si>
    <t>Point Calculation_163</t>
  </si>
  <si>
    <t>0Co+87.5Cr+12.5Fe+0Mn+0Ni in x%</t>
  </si>
  <si>
    <t>Point Calculation_164</t>
  </si>
  <si>
    <t>0Co+100Cr+0Fe+0Mn+0Ni in x%</t>
  </si>
  <si>
    <t>Point Calculation_165</t>
  </si>
  <si>
    <t>12.5Co+0Cr+0Fe+0Mn+87.5Ni in x%</t>
  </si>
  <si>
    <t>Point Calculation_166</t>
  </si>
  <si>
    <t>12.5Co+0Cr+0Fe+12.5Mn+75Ni in x%</t>
  </si>
  <si>
    <t>Point Calculation_167</t>
  </si>
  <si>
    <t>12.5Co+0Cr+0Fe+25Mn+62.5Ni in x%</t>
  </si>
  <si>
    <t>Point Calculation_168</t>
  </si>
  <si>
    <t>12.5Co+0Cr+0Fe+37.5Mn+50Ni in x%</t>
  </si>
  <si>
    <t>Point Calculation_169</t>
  </si>
  <si>
    <t>12.5Co+0Cr+0Fe+50Mn+37.5Ni in x%</t>
  </si>
  <si>
    <t>Point Calculation_170</t>
  </si>
  <si>
    <t>12.5Co+0Cr+0Fe+62.5Mn+25Ni in x%</t>
  </si>
  <si>
    <t>Point Calculation_171</t>
  </si>
  <si>
    <t>12.5Co+0Cr+0Fe+75Mn+12.5Ni in x%</t>
  </si>
  <si>
    <t>Point Calculation_172</t>
  </si>
  <si>
    <t>12.5Co+0Cr+0Fe+87.5Mn+0Ni in x%</t>
  </si>
  <si>
    <t>Point Calculation_173</t>
  </si>
  <si>
    <t>12.5Co+0Cr+12.5Fe+0Mn+75Ni in x%</t>
  </si>
  <si>
    <t>Point Calculation_174</t>
  </si>
  <si>
    <t>12.5Co+0Cr+12.5Fe+12.5Mn+62.5Ni in x%</t>
  </si>
  <si>
    <t>Point Calculation_175</t>
  </si>
  <si>
    <t>12.5Co+0Cr+12.5Fe+25Mn+50Ni in x%</t>
  </si>
  <si>
    <t>Point Calculation_176</t>
  </si>
  <si>
    <t>12.5Co+0Cr+12.5Fe+37.5Mn+37.5Ni in x%</t>
  </si>
  <si>
    <t>Point Calculation_177</t>
  </si>
  <si>
    <t>12.5Co+0Cr+12.5Fe+50Mn+25Ni in x%</t>
  </si>
  <si>
    <t>Point Calculation_178</t>
  </si>
  <si>
    <t>12.5Co+0Cr+12.5Fe+62.5Mn+12.5Ni in x%</t>
  </si>
  <si>
    <t>Point Calculation_179</t>
  </si>
  <si>
    <t>12.5Co+0Cr+12.5Fe+75Mn+0Ni in x%</t>
  </si>
  <si>
    <t>Point Calculation_180</t>
  </si>
  <si>
    <t>12.5Co+0Cr+25Fe+0Mn+62.5Ni in x%</t>
  </si>
  <si>
    <t>Point Calculation_181</t>
  </si>
  <si>
    <t>12.5Co+0Cr+25Fe+12.5Mn+50Ni in x%</t>
  </si>
  <si>
    <t>Point Calculation_182</t>
  </si>
  <si>
    <t>12.5Co+0Cr+25Fe+25Mn+37.5Ni in x%</t>
  </si>
  <si>
    <t>Point Calculation_183</t>
  </si>
  <si>
    <t>12.5Co+0Cr+25Fe+37.5Mn+25Ni in x%</t>
  </si>
  <si>
    <t>Point Calculation_184</t>
  </si>
  <si>
    <t>12.5Co+0Cr+25Fe+50Mn+12.5Ni in x%</t>
  </si>
  <si>
    <t>Point Calculation_185</t>
  </si>
  <si>
    <t>12.5Co+0Cr+25Fe+62.5Mn+0Ni in x%</t>
  </si>
  <si>
    <t>Point Calculation_186</t>
  </si>
  <si>
    <t>12.5Co+0Cr+37.5Fe+0Mn+50Ni in x%</t>
  </si>
  <si>
    <t>Point Calculation_187</t>
  </si>
  <si>
    <t>12.5Co+0Cr+37.5Fe+12.5Mn+37.5Ni in x%</t>
  </si>
  <si>
    <t>Point Calculation_188</t>
  </si>
  <si>
    <t>12.5Co+0Cr+37.5Fe+25Mn+25Ni in x%</t>
  </si>
  <si>
    <t>Point Calculation_189</t>
  </si>
  <si>
    <t>12.5Co+0Cr+37.5Fe+37.5Mn+12.5Ni in x%</t>
  </si>
  <si>
    <t>Point Calculation_190</t>
  </si>
  <si>
    <t>12.5Co+0Cr+37.5Fe+50Mn+0Ni in x%</t>
  </si>
  <si>
    <t>Point Calculation_191</t>
  </si>
  <si>
    <t>12.5Co+0Cr+50Fe+0Mn+37.5Ni in x%</t>
  </si>
  <si>
    <t>Point Calculation_192</t>
  </si>
  <si>
    <t>12.5Co+0Cr+50Fe+12.5Mn+25Ni in x%</t>
  </si>
  <si>
    <t>Point Calculation_193</t>
  </si>
  <si>
    <t>12.5Co+0Cr+50Fe+25Mn+12.5Ni in x%</t>
  </si>
  <si>
    <t>Point Calculation_194</t>
  </si>
  <si>
    <t>12.5Co+0Cr+50Fe+37.5Mn+0Ni in x%</t>
  </si>
  <si>
    <t>Point Calculation_195</t>
  </si>
  <si>
    <t>12.5Co+0Cr+62.5Fe+0Mn+25Ni in x%</t>
  </si>
  <si>
    <t>Point Calculation_196</t>
  </si>
  <si>
    <t>12.5Co+0Cr+62.5Fe+12.5Mn+12.5Ni in x%</t>
  </si>
  <si>
    <t>Point Calculation_197</t>
  </si>
  <si>
    <t>12.5Co+0Cr+62.5Fe+25Mn+0Ni in x%</t>
  </si>
  <si>
    <t>Point Calculation_198</t>
  </si>
  <si>
    <t>12.5Co+0Cr+75Fe+0Mn+12.5Ni in x%</t>
  </si>
  <si>
    <t>Point Calculation_199</t>
  </si>
  <si>
    <t>12.5Co+0Cr+75Fe+12.5Mn+0Ni in x%</t>
  </si>
  <si>
    <t>Point Calculation_200</t>
  </si>
  <si>
    <t>12.5Co+0Cr+87.5Fe+0Mn+0Ni in x%</t>
  </si>
  <si>
    <t>Point Calculation_201</t>
  </si>
  <si>
    <t>12.5Co+12.5Cr+0Fe+0Mn+75Ni in x%</t>
  </si>
  <si>
    <t>Point Calculation_202</t>
  </si>
  <si>
    <t>12.5Co+12.5Cr+0Fe+12.5Mn+62.5Ni in x%</t>
  </si>
  <si>
    <t>Point Calculation_203</t>
  </si>
  <si>
    <t>12.5Co+12.5Cr+0Fe+25Mn+50Ni in x%</t>
  </si>
  <si>
    <t>Point Calculation_204</t>
  </si>
  <si>
    <t>12.5Co+12.5Cr+0Fe+37.5Mn+37.5Ni in x%</t>
  </si>
  <si>
    <t>Point Calculation_205</t>
  </si>
  <si>
    <t>12.5Co+12.5Cr+0Fe+50Mn+25Ni in x%</t>
  </si>
  <si>
    <t>Point Calculation_206</t>
  </si>
  <si>
    <t>12.5Co+12.5Cr+0Fe+62.5Mn+12.5Ni in x%</t>
  </si>
  <si>
    <t>Fcc+Sigma+CUB_A13</t>
  </si>
  <si>
    <t>Point Calculation_207</t>
  </si>
  <si>
    <t>12.5Co+12.5Cr+0Fe+75Mn+0Ni in x%</t>
  </si>
  <si>
    <t>Point Calculation_208</t>
  </si>
  <si>
    <t>12.5Co+12.5Cr+12.5Fe+0Mn+62.5Ni in x%</t>
  </si>
  <si>
    <t>Point Calculation_209</t>
  </si>
  <si>
    <t>12.5Co+12.5Cr+12.5Fe+12.5Mn+50Ni in x%</t>
  </si>
  <si>
    <t>Point Calculation_210</t>
  </si>
  <si>
    <t>12.5Co+12.5Cr+12.5Fe+25Mn+37.5Ni in x%</t>
  </si>
  <si>
    <t>Point Calculation_211</t>
  </si>
  <si>
    <t>12.5Co+12.5Cr+12.5Fe+37.5Mn+25Ni in x%</t>
  </si>
  <si>
    <t>Point Calculation_212</t>
  </si>
  <si>
    <t>12.5Co+12.5Cr+12.5Fe+50Mn+12.5Ni in x%</t>
  </si>
  <si>
    <t>Point Calculation_213</t>
  </si>
  <si>
    <t>12.5Co+12.5Cr+12.5Fe+62.5Mn+0Ni in x%</t>
  </si>
  <si>
    <t>CUB_A13+Sigma</t>
  </si>
  <si>
    <t>Point Calculation_214</t>
  </si>
  <si>
    <t>12.5Co+12.5Cr+25Fe+0Mn+50Ni in x%</t>
  </si>
  <si>
    <t>Point Calculation_215</t>
  </si>
  <si>
    <t>12.5Co+12.5Cr+25Fe+12.5Mn+37.5Ni in x%</t>
  </si>
  <si>
    <t>Point Calculation_216</t>
  </si>
  <si>
    <t>12.5Co+12.5Cr+25Fe+25Mn+25Ni in x%</t>
  </si>
  <si>
    <t>Point Calculation_217</t>
  </si>
  <si>
    <t>12.5Co+12.5Cr+25Fe+37.5Mn+12.5Ni in x%</t>
  </si>
  <si>
    <t>Point Calculation_218</t>
  </si>
  <si>
    <t>12.5Co+12.5Cr+25Fe+50Mn+0Ni in x%</t>
  </si>
  <si>
    <t>Point Calculation_219</t>
  </si>
  <si>
    <t>12.5Co+12.5Cr+37.5Fe+0Mn+37.5Ni in x%</t>
  </si>
  <si>
    <t>Point Calculation_220</t>
  </si>
  <si>
    <t>12.5Co+12.5Cr+37.5Fe+12.5Mn+25Ni in x%</t>
  </si>
  <si>
    <t>Point Calculation_221</t>
  </si>
  <si>
    <t>12.5Co+12.5Cr+37.5Fe+25Mn+12.5Ni in x%</t>
  </si>
  <si>
    <t>Point Calculation_222</t>
  </si>
  <si>
    <t>12.5Co+12.5Cr+37.5Fe+37.5Mn+0Ni in x%</t>
  </si>
  <si>
    <t>Point Calculation_223</t>
  </si>
  <si>
    <t>12.5Co+12.5Cr+50Fe+0Mn+25Ni in x%</t>
  </si>
  <si>
    <t>Point Calculation_224</t>
  </si>
  <si>
    <t>12.5Co+12.5Cr+50Fe+12.5Mn+12.5Ni in x%</t>
  </si>
  <si>
    <t>Point Calculation_225</t>
  </si>
  <si>
    <t>12.5Co+12.5Cr+50Fe+25Mn+0Ni in x%</t>
  </si>
  <si>
    <t>Point Calculation_226</t>
  </si>
  <si>
    <t>12.5Co+12.5Cr+62.5Fe+0Mn+12.5Ni in x%</t>
  </si>
  <si>
    <t>Point Calculation_227</t>
  </si>
  <si>
    <t>12.5Co+12.5Cr+62.5Fe+12.5Mn+0Ni in x%</t>
  </si>
  <si>
    <t>Point Calculation_228</t>
  </si>
  <si>
    <t>12.5Co+12.5Cr+75Fe+0Mn+0Ni in x%</t>
  </si>
  <si>
    <t>Point Calculation_229</t>
  </si>
  <si>
    <t>12.5Co+25Cr+0Fe+0Mn+62.5Ni in x%</t>
  </si>
  <si>
    <t>Point Calculation_230</t>
  </si>
  <si>
    <t>12.5Co+25Cr+0Fe+12.5Mn+50Ni in x%</t>
  </si>
  <si>
    <t>Point Calculation_231</t>
  </si>
  <si>
    <t>12.5Co+25Cr+0Fe+25Mn+37.5Ni in x%</t>
  </si>
  <si>
    <t>Point Calculation_232</t>
  </si>
  <si>
    <t>12.5Co+25Cr+0Fe+37.5Mn+25Ni in x%</t>
  </si>
  <si>
    <t>Point Calculation_233</t>
  </si>
  <si>
    <t>12.5Co+25Cr+0Fe+50Mn+12.5Ni in x%</t>
  </si>
  <si>
    <t>Point Calculation_234</t>
  </si>
  <si>
    <t>12.5Co+25Cr+0Fe+62.5Mn+0Ni in x%</t>
  </si>
  <si>
    <t>Point Calculation_235</t>
  </si>
  <si>
    <t>12.5Co+25Cr+12.5Fe+0Mn+50Ni in x%</t>
  </si>
  <si>
    <t>Point Calculation_236</t>
  </si>
  <si>
    <t>12.5Co+25Cr+12.5Fe+12.5Mn+37.5Ni in x%</t>
  </si>
  <si>
    <t>Point Calculation_237</t>
  </si>
  <si>
    <t>12.5Co+25Cr+12.5Fe+25Mn+25Ni in x%</t>
  </si>
  <si>
    <t>Point Calculation_238</t>
  </si>
  <si>
    <t>12.5Co+25Cr+12.5Fe+37.5Mn+12.5Ni in x%</t>
  </si>
  <si>
    <t>Point Calculation_239</t>
  </si>
  <si>
    <t>12.5Co+25Cr+12.5Fe+50Mn+0Ni in x%</t>
  </si>
  <si>
    <t>Point Calculation_240</t>
  </si>
  <si>
    <t>12.5Co+25Cr+25Fe+0Mn+37.5Ni in x%</t>
  </si>
  <si>
    <t>Point Calculation_241</t>
  </si>
  <si>
    <t>12.5Co+25Cr+25Fe+12.5Mn+25Ni in x%</t>
  </si>
  <si>
    <t>Point Calculation_242</t>
  </si>
  <si>
    <t>12.5Co+25Cr+25Fe+25Mn+12.5Ni in x%</t>
  </si>
  <si>
    <t>Point Calculation_243</t>
  </si>
  <si>
    <t>12.5Co+25Cr+25Fe+37.5Mn+0Ni in x%</t>
  </si>
  <si>
    <t>Point Calculation_244</t>
  </si>
  <si>
    <t>12.5Co+25Cr+37.5Fe+0Mn+25Ni in x%</t>
  </si>
  <si>
    <t>Point Calculation_245</t>
  </si>
  <si>
    <t>12.5Co+25Cr+37.5Fe+12.5Mn+12.5Ni in x%</t>
  </si>
  <si>
    <t>Point Calculation_246</t>
  </si>
  <si>
    <t>12.5Co+25Cr+37.5Fe+25Mn+0Ni in x%</t>
  </si>
  <si>
    <t>Point Calculation_247</t>
  </si>
  <si>
    <t>12.5Co+25Cr+50Fe+0Mn+12.5Ni in x%</t>
  </si>
  <si>
    <t>Point Calculation_248</t>
  </si>
  <si>
    <t>12.5Co+25Cr+50Fe+12.5Mn+0Ni in x%</t>
  </si>
  <si>
    <t>Point Calculation_249</t>
  </si>
  <si>
    <t>12.5Co+25Cr+62.5Fe+0Mn+0Ni in x%</t>
  </si>
  <si>
    <t>Point Calculation_250</t>
  </si>
  <si>
    <t>12.5Co+37.5Cr+0Fe+0Mn+50Ni in x%</t>
  </si>
  <si>
    <t>Point Calculation_251</t>
  </si>
  <si>
    <t>12.5Co+37.5Cr+0Fe+12.5Mn+37.5Ni in x%</t>
  </si>
  <si>
    <t>Point Calculation_252</t>
  </si>
  <si>
    <t>12.5Co+37.5Cr+0Fe+25Mn+25Ni in x%</t>
  </si>
  <si>
    <t>Point Calculation_253</t>
  </si>
  <si>
    <t>12.5Co+37.5Cr+0Fe+37.5Mn+12.5Ni in x%</t>
  </si>
  <si>
    <t>Point Calculation_254</t>
  </si>
  <si>
    <t>12.5Co+37.5Cr+0Fe+50Mn+0Ni in x%</t>
  </si>
  <si>
    <t>Point Calculation_255</t>
  </si>
  <si>
    <t>12.5Co+37.5Cr+12.5Fe+0Mn+37.5Ni in x%</t>
  </si>
  <si>
    <t>Point Calculation_256</t>
  </si>
  <si>
    <t>12.5Co+37.5Cr+12.5Fe+12.5Mn+25Ni in x%</t>
  </si>
  <si>
    <t>Point Calculation_257</t>
  </si>
  <si>
    <t>12.5Co+37.5Cr+12.5Fe+25Mn+12.5Ni in x%</t>
  </si>
  <si>
    <t>Point Calculation_258</t>
  </si>
  <si>
    <t>12.5Co+37.5Cr+12.5Fe+37.5Mn+0Ni in x%</t>
  </si>
  <si>
    <t>Point Calculation_259</t>
  </si>
  <si>
    <t>12.5Co+37.5Cr+25Fe+0Mn+25Ni in x%</t>
  </si>
  <si>
    <t>Point Calculation_260</t>
  </si>
  <si>
    <t>12.5Co+37.5Cr+25Fe+12.5Mn+12.5Ni in x%</t>
  </si>
  <si>
    <t>Point Calculation_261</t>
  </si>
  <si>
    <t>12.5Co+37.5Cr+25Fe+25Mn+0Ni in x%</t>
  </si>
  <si>
    <t>Point Calculation_262</t>
  </si>
  <si>
    <t>12.5Co+37.5Cr+37.5Fe+0Mn+12.5Ni in x%</t>
  </si>
  <si>
    <t>Point Calculation_263</t>
  </si>
  <si>
    <t>12.5Co+37.5Cr+37.5Fe+12.5Mn+0Ni in x%</t>
  </si>
  <si>
    <t>Point Calculation_264</t>
  </si>
  <si>
    <t>12.5Co+37.5Cr+50Fe+0Mn+0Ni in x%</t>
  </si>
  <si>
    <t>Point Calculation_265</t>
  </si>
  <si>
    <t>12.5Co+50Cr+0Fe+0Mn+37.5Ni in x%</t>
  </si>
  <si>
    <t>Point Calculation_266</t>
  </si>
  <si>
    <t>12.5Co+50Cr+0Fe+12.5Mn+25Ni in x%</t>
  </si>
  <si>
    <t>Point Calculation_267</t>
  </si>
  <si>
    <t>12.5Co+50Cr+0Fe+25Mn+12.5Ni in x%</t>
  </si>
  <si>
    <t>Point Calculation_268</t>
  </si>
  <si>
    <t>12.5Co+50Cr+0Fe+37.5Mn+0Ni in x%</t>
  </si>
  <si>
    <t>Point Calculation_269</t>
  </si>
  <si>
    <t>12.5Co+50Cr+12.5Fe+0Mn+25Ni in x%</t>
  </si>
  <si>
    <t>Point Calculation_270</t>
  </si>
  <si>
    <t>12.5Co+50Cr+12.5Fe+12.5Mn+12.5Ni in x%</t>
  </si>
  <si>
    <t>Bcc+Fcc+Sigma</t>
  </si>
  <si>
    <t>Point Calculation_271</t>
  </si>
  <si>
    <t>12.5Co+50Cr+12.5Fe+25Mn+0Ni in x%</t>
  </si>
  <si>
    <t>Point Calculation_272</t>
  </si>
  <si>
    <t>12.5Co+50Cr+25Fe+0Mn+12.5Ni in x%</t>
  </si>
  <si>
    <t>Point Calculation_273</t>
  </si>
  <si>
    <t>12.5Co+50Cr+25Fe+12.5Mn+0Ni in x%</t>
  </si>
  <si>
    <t>Point Calculation_274</t>
  </si>
  <si>
    <t>12.5Co+50Cr+37.5Fe+0Mn+0Ni in x%</t>
  </si>
  <si>
    <t>Point Calculation_275</t>
  </si>
  <si>
    <t>12.5Co+62.5Cr+0Fe+0Mn+25Ni in x%</t>
  </si>
  <si>
    <t>Point Calculation_276</t>
  </si>
  <si>
    <t>12.5Co+62.5Cr+0Fe+12.5Mn+12.5Ni in x%</t>
  </si>
  <si>
    <t>Point Calculation_277</t>
  </si>
  <si>
    <t>12.5Co+62.5Cr+0Fe+25Mn+0Ni in x%</t>
  </si>
  <si>
    <t>Point Calculation_278</t>
  </si>
  <si>
    <t>12.5Co+62.5Cr+12.5Fe+0Mn+12.5Ni in x%</t>
  </si>
  <si>
    <t>Point Calculation_279</t>
  </si>
  <si>
    <t>12.5Co+62.5Cr+12.5Fe+12.5Mn+0Ni in x%</t>
  </si>
  <si>
    <t>Point Calculation_280</t>
  </si>
  <si>
    <t>12.5Co+62.5Cr+25Fe+0Mn+0Ni in x%</t>
  </si>
  <si>
    <t>Point Calculation_281</t>
  </si>
  <si>
    <t>12.5Co+75Cr+0Fe+0Mn+12.5Ni in x%</t>
  </si>
  <si>
    <t>Point Calculation_282</t>
  </si>
  <si>
    <t>12.5Co+75Cr+0Fe+12.5Mn+0Ni in x%</t>
  </si>
  <si>
    <t>Point Calculation_283</t>
  </si>
  <si>
    <t>12.5Co+75Cr+12.5Fe+0Mn+0Ni in x%</t>
  </si>
  <si>
    <t>Point Calculation_284</t>
  </si>
  <si>
    <t>12.5Co+87.5Cr+0Fe+0Mn+0Ni in x%</t>
  </si>
  <si>
    <t>Point Calculation_285</t>
  </si>
  <si>
    <t>25Co+0Cr+0Fe+0Mn+75Ni in x%</t>
  </si>
  <si>
    <t>Point Calculation_286</t>
  </si>
  <si>
    <t>25Co+0Cr+0Fe+12.5Mn+62.5Ni in x%</t>
  </si>
  <si>
    <t>Point Calculation_287</t>
  </si>
  <si>
    <t>25Co+0Cr+0Fe+25Mn+50Ni in x%</t>
  </si>
  <si>
    <t>Point Calculation_288</t>
  </si>
  <si>
    <t>25Co+0Cr+0Fe+37.5Mn+37.5Ni in x%</t>
  </si>
  <si>
    <t>Point Calculation_289</t>
  </si>
  <si>
    <t>25Co+0Cr+0Fe+50Mn+25Ni in x%</t>
  </si>
  <si>
    <t>Point Calculation_290</t>
  </si>
  <si>
    <t>25Co+0Cr+0Fe+62.5Mn+12.5Ni in x%</t>
  </si>
  <si>
    <t>Point Calculation_291</t>
  </si>
  <si>
    <t>25Co+0Cr+0Fe+75Mn+0Ni in x%</t>
  </si>
  <si>
    <t>Point Calculation_292</t>
  </si>
  <si>
    <t>25Co+0Cr+12.5Fe+0Mn+62.5Ni in x%</t>
  </si>
  <si>
    <t>Point Calculation_293</t>
  </si>
  <si>
    <t>25Co+0Cr+12.5Fe+12.5Mn+50Ni in x%</t>
  </si>
  <si>
    <t>Point Calculation_294</t>
  </si>
  <si>
    <t>25Co+0Cr+12.5Fe+25Mn+37.5Ni in x%</t>
  </si>
  <si>
    <t>Point Calculation_295</t>
  </si>
  <si>
    <t>25Co+0Cr+12.5Fe+37.5Mn+25Ni in x%</t>
  </si>
  <si>
    <t>Point Calculation_296</t>
  </si>
  <si>
    <t>25Co+0Cr+12.5Fe+50Mn+12.5Ni in x%</t>
  </si>
  <si>
    <t>Point Calculation_297</t>
  </si>
  <si>
    <t>25Co+0Cr+12.5Fe+62.5Mn+0Ni in x%</t>
  </si>
  <si>
    <t>Point Calculation_298</t>
  </si>
  <si>
    <t>25Co+0Cr+25Fe+0Mn+50Ni in x%</t>
  </si>
  <si>
    <t>Point Calculation_299</t>
  </si>
  <si>
    <t>25Co+0Cr+25Fe+12.5Mn+37.5Ni in x%</t>
  </si>
  <si>
    <t>Point Calculation_300</t>
  </si>
  <si>
    <t>25Co+0Cr+25Fe+25Mn+25Ni in x%</t>
  </si>
  <si>
    <t>Point Calculation_301</t>
  </si>
  <si>
    <t>25Co+0Cr+25Fe+37.5Mn+12.5Ni in x%</t>
  </si>
  <si>
    <t>Point Calculation_302</t>
  </si>
  <si>
    <t>25Co+0Cr+25Fe+50Mn+0Ni in x%</t>
  </si>
  <si>
    <t>Point Calculation_303</t>
  </si>
  <si>
    <t>25Co+0Cr+37.5Fe+0Mn+37.5Ni in x%</t>
  </si>
  <si>
    <t>Point Calculation_304</t>
  </si>
  <si>
    <t>25Co+0Cr+37.5Fe+12.5Mn+25Ni in x%</t>
  </si>
  <si>
    <t>Point Calculation_305</t>
  </si>
  <si>
    <t>25Co+0Cr+37.5Fe+25Mn+12.5Ni in x%</t>
  </si>
  <si>
    <t>Point Calculation_306</t>
  </si>
  <si>
    <t>25Co+0Cr+37.5Fe+37.5Mn+0Ni in x%</t>
  </si>
  <si>
    <t>Point Calculation_307</t>
  </si>
  <si>
    <t>25Co+0Cr+50Fe+0Mn+25Ni in x%</t>
  </si>
  <si>
    <t>Point Calculation_308</t>
  </si>
  <si>
    <t>25Co+0Cr+50Fe+12.5Mn+12.5Ni in x%</t>
  </si>
  <si>
    <t>Point Calculation_309</t>
  </si>
  <si>
    <t>25Co+0Cr+50Fe+25Mn+0Ni in x%</t>
  </si>
  <si>
    <t>Point Calculation_310</t>
  </si>
  <si>
    <t>25Co+0Cr+62.5Fe+0Mn+12.5Ni in x%</t>
  </si>
  <si>
    <t>Point Calculation_311</t>
  </si>
  <si>
    <t>25Co+0Cr+62.5Fe+12.5Mn+0Ni in x%</t>
  </si>
  <si>
    <t>Point Calculation_312</t>
  </si>
  <si>
    <t>25Co+0Cr+75Fe+0Mn+0Ni in x%</t>
  </si>
  <si>
    <t>Point Calculation_313</t>
  </si>
  <si>
    <t>25Co+12.5Cr+0Fe+0Mn+62.5Ni in x%</t>
  </si>
  <si>
    <t>Point Calculation_314</t>
  </si>
  <si>
    <t>25Co+12.5Cr+0Fe+12.5Mn+50Ni in x%</t>
  </si>
  <si>
    <t>Point Calculation_315</t>
  </si>
  <si>
    <t>25Co+12.5Cr+0Fe+25Mn+37.5Ni in x%</t>
  </si>
  <si>
    <t>Point Calculation_316</t>
  </si>
  <si>
    <t>25Co+12.5Cr+0Fe+37.5Mn+25Ni in x%</t>
  </si>
  <si>
    <t>Point Calculation_317</t>
  </si>
  <si>
    <t>25Co+12.5Cr+0Fe+50Mn+12.5Ni in x%</t>
  </si>
  <si>
    <t>Point Calculation_318</t>
  </si>
  <si>
    <t>25Co+12.5Cr+0Fe+62.5Mn+0Ni in x%</t>
  </si>
  <si>
    <t>Point Calculation_319</t>
  </si>
  <si>
    <t>25Co+12.5Cr+12.5Fe+0Mn+50Ni in x%</t>
  </si>
  <si>
    <t>Point Calculation_320</t>
  </si>
  <si>
    <t>25Co+12.5Cr+12.5Fe+12.5Mn+37.5Ni in x%</t>
  </si>
  <si>
    <t>Point Calculation_321</t>
  </si>
  <si>
    <t>25Co+12.5Cr+12.5Fe+25Mn+25Ni in x%</t>
  </si>
  <si>
    <t>Point Calculation_322</t>
  </si>
  <si>
    <t>25Co+12.5Cr+12.5Fe+37.5Mn+12.5Ni in x%</t>
  </si>
  <si>
    <t>Point Calculation_323</t>
  </si>
  <si>
    <t>25Co+12.5Cr+12.5Fe+50Mn+0Ni in x%</t>
  </si>
  <si>
    <t>Point Calculation_324</t>
  </si>
  <si>
    <t>25Co+12.5Cr+25Fe+0Mn+37.5Ni in x%</t>
  </si>
  <si>
    <t>Point Calculation_325</t>
  </si>
  <si>
    <t>25Co+12.5Cr+25Fe+12.5Mn+25Ni in x%</t>
  </si>
  <si>
    <t>Point Calculation_326</t>
  </si>
  <si>
    <t>25Co+12.5Cr+25Fe+25Mn+12.5Ni in x%</t>
  </si>
  <si>
    <t>Point Calculation_327</t>
  </si>
  <si>
    <t>25Co+12.5Cr+25Fe+37.5Mn+0Ni in x%</t>
  </si>
  <si>
    <t>Point Calculation_328</t>
  </si>
  <si>
    <t>25Co+12.5Cr+37.5Fe+0Mn+25Ni in x%</t>
  </si>
  <si>
    <t>Point Calculation_329</t>
  </si>
  <si>
    <t>25Co+12.5Cr+37.5Fe+12.5Mn+12.5Ni in x%</t>
  </si>
  <si>
    <t>Point Calculation_330</t>
  </si>
  <si>
    <t>25Co+12.5Cr+37.5Fe+25Mn+0Ni in x%</t>
  </si>
  <si>
    <t>Point Calculation_331</t>
  </si>
  <si>
    <t>25Co+12.5Cr+50Fe+0Mn+12.5Ni in x%</t>
  </si>
  <si>
    <t>Point Calculation_332</t>
  </si>
  <si>
    <t>25Co+12.5Cr+50Fe+12.5Mn+0Ni in x%</t>
  </si>
  <si>
    <t>Point Calculation_333</t>
  </si>
  <si>
    <t>25Co+12.5Cr+62.5Fe+0Mn+0Ni in x%</t>
  </si>
  <si>
    <t>Point Calculation_334</t>
  </si>
  <si>
    <t>25Co+25Cr+0Fe+0Mn+50Ni in x%</t>
  </si>
  <si>
    <t>Point Calculation_335</t>
  </si>
  <si>
    <t>25Co+25Cr+0Fe+12.5Mn+37.5Ni in x%</t>
  </si>
  <si>
    <t>Point Calculation_336</t>
  </si>
  <si>
    <t>25Co+25Cr+0Fe+25Mn+25Ni in x%</t>
  </si>
  <si>
    <t>Point Calculation_337</t>
  </si>
  <si>
    <t>25Co+25Cr+0Fe+37.5Mn+12.5Ni in x%</t>
  </si>
  <si>
    <t>Point Calculation_338</t>
  </si>
  <si>
    <t>25Co+25Cr+0Fe+50Mn+0Ni in x%</t>
  </si>
  <si>
    <t>Point Calculation_339</t>
  </si>
  <si>
    <t>25Co+25Cr+12.5Fe+0Mn+37.5Ni in x%</t>
  </si>
  <si>
    <t>Point Calculation_340</t>
  </si>
  <si>
    <t>25Co+25Cr+12.5Fe+12.5Mn+25Ni in x%</t>
  </si>
  <si>
    <t>Point Calculation_341</t>
  </si>
  <si>
    <t>25Co+25Cr+12.5Fe+25Mn+12.5Ni in x%</t>
  </si>
  <si>
    <t>Point Calculation_342</t>
  </si>
  <si>
    <t>25Co+25Cr+12.5Fe+37.5Mn+0Ni in x%</t>
  </si>
  <si>
    <t>Point Calculation_343</t>
  </si>
  <si>
    <t>25Co+25Cr+25Fe+0Mn+25Ni in x%</t>
  </si>
  <si>
    <t>Point Calculation_344</t>
  </si>
  <si>
    <t>25Co+25Cr+25Fe+12.5Mn+12.5Ni in x%</t>
  </si>
  <si>
    <t>Point Calculation_345</t>
  </si>
  <si>
    <t>25Co+25Cr+25Fe+25Mn+0Ni in x%</t>
  </si>
  <si>
    <t>Point Calculation_346</t>
  </si>
  <si>
    <t>25Co+25Cr+37.5Fe+0Mn+12.5Ni in x%</t>
  </si>
  <si>
    <t>Point Calculation_347</t>
  </si>
  <si>
    <t>25Co+25Cr+37.5Fe+12.5Mn+0Ni in x%</t>
  </si>
  <si>
    <t>Point Calculation_348</t>
  </si>
  <si>
    <t>25Co+25Cr+50Fe+0Mn+0Ni in x%</t>
  </si>
  <si>
    <t>Point Calculation_349</t>
  </si>
  <si>
    <t>25Co+37.5Cr+0Fe+0Mn+37.5Ni in x%</t>
  </si>
  <si>
    <t>Point Calculation_350</t>
  </si>
  <si>
    <t>25Co+37.5Cr+0Fe+12.5Mn+25Ni in x%</t>
  </si>
  <si>
    <t>Point Calculation_351</t>
  </si>
  <si>
    <t>25Co+37.5Cr+0Fe+25Mn+12.5Ni in x%</t>
  </si>
  <si>
    <t>Point Calculation_352</t>
  </si>
  <si>
    <t>25Co+37.5Cr+0Fe+37.5Mn+0Ni in x%</t>
  </si>
  <si>
    <t>Point Calculation_353</t>
  </si>
  <si>
    <t>25Co+37.5Cr+12.5Fe+0Mn+25Ni in x%</t>
  </si>
  <si>
    <t>Point Calculation_354</t>
  </si>
  <si>
    <t>25Co+37.5Cr+12.5Fe+12.5Mn+12.5Ni in x%</t>
  </si>
  <si>
    <t>Point Calculation_355</t>
  </si>
  <si>
    <t>25Co+37.5Cr+12.5Fe+25Mn+0Ni in x%</t>
  </si>
  <si>
    <t>Point Calculation_356</t>
  </si>
  <si>
    <t>25Co+37.5Cr+25Fe+0Mn+12.5Ni in x%</t>
  </si>
  <si>
    <t>Point Calculation_357</t>
  </si>
  <si>
    <t>25Co+37.5Cr+25Fe+12.5Mn+0Ni in x%</t>
  </si>
  <si>
    <t>Point Calculation_358</t>
  </si>
  <si>
    <t>25Co+37.5Cr+37.5Fe+0Mn+0Ni in x%</t>
  </si>
  <si>
    <t>Point Calculation_359</t>
  </si>
  <si>
    <t>25Co+50Cr+0Fe+0Mn+25Ni in x%</t>
  </si>
  <si>
    <t>Point Calculation_360</t>
  </si>
  <si>
    <t>25Co+50Cr+0Fe+12.5Mn+12.5Ni in x%</t>
  </si>
  <si>
    <t>Point Calculation_361</t>
  </si>
  <si>
    <t>25Co+50Cr+0Fe+25Mn+0Ni in x%</t>
  </si>
  <si>
    <t>Point Calculation_362</t>
  </si>
  <si>
    <t>25Co+50Cr+12.5Fe+0Mn+12.5Ni in x%</t>
  </si>
  <si>
    <t>Point Calculation_363</t>
  </si>
  <si>
    <t>25Co+50Cr+12.5Fe+12.5Mn+0Ni in x%</t>
  </si>
  <si>
    <t>Point Calculation_364</t>
  </si>
  <si>
    <t>25Co+50Cr+25Fe+0Mn+0Ni in x%</t>
  </si>
  <si>
    <t>Point Calculation_365</t>
  </si>
  <si>
    <t>25Co+62.5Cr+0Fe+0Mn+12.5Ni in x%</t>
  </si>
  <si>
    <t>Point Calculation_366</t>
  </si>
  <si>
    <t>25Co+62.5Cr+0Fe+12.5Mn+0Ni in x%</t>
  </si>
  <si>
    <t>Point Calculation_367</t>
  </si>
  <si>
    <t>25Co+62.5Cr+12.5Fe+0Mn+0Ni in x%</t>
  </si>
  <si>
    <t>Point Calculation_368</t>
  </si>
  <si>
    <t>25Co+75Cr+0Fe+0Mn+0Ni in x%</t>
  </si>
  <si>
    <t>Point Calculation_369</t>
  </si>
  <si>
    <t>37.5Co+0Cr+0Fe+0Mn+62.5Ni in x%</t>
  </si>
  <si>
    <t>Point Calculation_370</t>
  </si>
  <si>
    <t>37.5Co+0Cr+0Fe+12.5Mn+50Ni in x%</t>
  </si>
  <si>
    <t>Point Calculation_371</t>
  </si>
  <si>
    <t>37.5Co+0Cr+0Fe+25Mn+37.5Ni in x%</t>
  </si>
  <si>
    <t>Point Calculation_372</t>
  </si>
  <si>
    <t>37.5Co+0Cr+0Fe+37.5Mn+25Ni in x%</t>
  </si>
  <si>
    <t>Point Calculation_373</t>
  </si>
  <si>
    <t>37.5Co+0Cr+0Fe+50Mn+12.5Ni in x%</t>
  </si>
  <si>
    <t>Point Calculation_374</t>
  </si>
  <si>
    <t>37.5Co+0Cr+0Fe+62.5Mn+0Ni in x%</t>
  </si>
  <si>
    <t>Point Calculation_375</t>
  </si>
  <si>
    <t>37.5Co+0Cr+12.5Fe+0Mn+50Ni in x%</t>
  </si>
  <si>
    <t>Point Calculation_376</t>
  </si>
  <si>
    <t>37.5Co+0Cr+12.5Fe+12.5Mn+37.5Ni in x%</t>
  </si>
  <si>
    <t>Point Calculation_377</t>
  </si>
  <si>
    <t>37.5Co+0Cr+12.5Fe+25Mn+25Ni in x%</t>
  </si>
  <si>
    <t>Point Calculation_378</t>
  </si>
  <si>
    <t>37.5Co+0Cr+12.5Fe+37.5Mn+12.5Ni in x%</t>
  </si>
  <si>
    <t>Point Calculation_379</t>
  </si>
  <si>
    <t>37.5Co+0Cr+12.5Fe+50Mn+0Ni in x%</t>
  </si>
  <si>
    <t>Point Calculation_380</t>
  </si>
  <si>
    <t>37.5Co+0Cr+25Fe+0Mn+37.5Ni in x%</t>
  </si>
  <si>
    <t>Point Calculation_381</t>
  </si>
  <si>
    <t>37.5Co+0Cr+25Fe+12.5Mn+25Ni in x%</t>
  </si>
  <si>
    <t>Point Calculation_382</t>
  </si>
  <si>
    <t>37.5Co+0Cr+25Fe+25Mn+12.5Ni in x%</t>
  </si>
  <si>
    <t>Point Calculation_383</t>
  </si>
  <si>
    <t>37.5Co+0Cr+25Fe+37.5Mn+0Ni in x%</t>
  </si>
  <si>
    <t>Point Calculation_384</t>
  </si>
  <si>
    <t>37.5Co+0Cr+37.5Fe+0Mn+25Ni in x%</t>
  </si>
  <si>
    <t>Point Calculation_385</t>
  </si>
  <si>
    <t>37.5Co+0Cr+37.5Fe+12.5Mn+12.5Ni in x%</t>
  </si>
  <si>
    <t>Point Calculation_386</t>
  </si>
  <si>
    <t>37.5Co+0Cr+37.5Fe+25Mn+0Ni in x%</t>
  </si>
  <si>
    <t>Point Calculation_387</t>
  </si>
  <si>
    <t>37.5Co+0Cr+50Fe+0Mn+12.5Ni in x%</t>
  </si>
  <si>
    <t>Point Calculation_388</t>
  </si>
  <si>
    <t>37.5Co+0Cr+50Fe+12.5Mn+0Ni in x%</t>
  </si>
  <si>
    <t>Point Calculation_389</t>
  </si>
  <si>
    <t>37.5Co+0Cr+62.5Fe+0Mn+0Ni in x%</t>
  </si>
  <si>
    <t>Point Calculation_390</t>
  </si>
  <si>
    <t>37.5Co+12.5Cr+0Fe+0Mn+50Ni in x%</t>
  </si>
  <si>
    <t>Point Calculation_391</t>
  </si>
  <si>
    <t>37.5Co+12.5Cr+0Fe+12.5Mn+37.5Ni in x%</t>
  </si>
  <si>
    <t>Point Calculation_392</t>
  </si>
  <si>
    <t>37.5Co+12.5Cr+0Fe+25Mn+25Ni in x%</t>
  </si>
  <si>
    <t>Point Calculation_393</t>
  </si>
  <si>
    <t>37.5Co+12.5Cr+0Fe+37.5Mn+12.5Ni in x%</t>
  </si>
  <si>
    <t>Point Calculation_394</t>
  </si>
  <si>
    <t>37.5Co+12.5Cr+0Fe+50Mn+0Ni in x%</t>
  </si>
  <si>
    <t>Point Calculation_395</t>
  </si>
  <si>
    <t>37.5Co+12.5Cr+12.5Fe+0Mn+37.5Ni in x%</t>
  </si>
  <si>
    <t>Point Calculation_396</t>
  </si>
  <si>
    <t>37.5Co+12.5Cr+12.5Fe+12.5Mn+25Ni in x%</t>
  </si>
  <si>
    <t>Point Calculation_397</t>
  </si>
  <si>
    <t>37.5Co+12.5Cr+12.5Fe+25Mn+12.5Ni in x%</t>
  </si>
  <si>
    <t>Point Calculation_398</t>
  </si>
  <si>
    <t>37.5Co+12.5Cr+12.5Fe+37.5Mn+0Ni in x%</t>
  </si>
  <si>
    <t>Point Calculation_399</t>
  </si>
  <si>
    <t>37.5Co+12.5Cr+25Fe+0Mn+25Ni in x%</t>
  </si>
  <si>
    <t>Point Calculation_400</t>
  </si>
  <si>
    <t>37.5Co+12.5Cr+25Fe+12.5Mn+12.5Ni in x%</t>
  </si>
  <si>
    <t>Point Calculation_401</t>
  </si>
  <si>
    <t>37.5Co+12.5Cr+25Fe+25Mn+0Ni in x%</t>
  </si>
  <si>
    <t>Point Calculation_402</t>
  </si>
  <si>
    <t>37.5Co+12.5Cr+37.5Fe+0Mn+12.5Ni in x%</t>
  </si>
  <si>
    <t>Point Calculation_403</t>
  </si>
  <si>
    <t>37.5Co+12.5Cr+37.5Fe+12.5Mn+0Ni in x%</t>
  </si>
  <si>
    <t>Point Calculation_404</t>
  </si>
  <si>
    <t>37.5Co+12.5Cr+50Fe+0Mn+0Ni in x%</t>
  </si>
  <si>
    <t>Point Calculation_405</t>
  </si>
  <si>
    <t>37.5Co+25Cr+0Fe+0Mn+37.5Ni in x%</t>
  </si>
  <si>
    <t>Point Calculation_406</t>
  </si>
  <si>
    <t>37.5Co+25Cr+0Fe+12.5Mn+25Ni in x%</t>
  </si>
  <si>
    <t>Point Calculation_407</t>
  </si>
  <si>
    <t>37.5Co+25Cr+0Fe+25Mn+12.5Ni in x%</t>
  </si>
  <si>
    <t>Point Calculation_408</t>
  </si>
  <si>
    <t>37.5Co+25Cr+0Fe+37.5Mn+0Ni in x%</t>
  </si>
  <si>
    <t>Point Calculation_409</t>
  </si>
  <si>
    <t>37.5Co+25Cr+12.5Fe+0Mn+25Ni in x%</t>
  </si>
  <si>
    <t>Point Calculation_410</t>
  </si>
  <si>
    <t>37.5Co+25Cr+12.5Fe+12.5Mn+12.5Ni in x%</t>
  </si>
  <si>
    <t>Point Calculation_411</t>
  </si>
  <si>
    <t>37.5Co+25Cr+12.5Fe+25Mn+0Ni in x%</t>
  </si>
  <si>
    <t>Point Calculation_412</t>
  </si>
  <si>
    <t>37.5Co+25Cr+25Fe+0Mn+12.5Ni in x%</t>
  </si>
  <si>
    <t>Point Calculation_413</t>
  </si>
  <si>
    <t>37.5Co+25Cr+25Fe+12.5Mn+0Ni in x%</t>
  </si>
  <si>
    <t>Point Calculation_414</t>
  </si>
  <si>
    <t>37.5Co+25Cr+37.5Fe+0Mn+0Ni in x%</t>
  </si>
  <si>
    <t>Point Calculation_415</t>
  </si>
  <si>
    <t>37.5Co+37.5Cr+0Fe+0Mn+25Ni in x%</t>
  </si>
  <si>
    <t>Point Calculation_416</t>
  </si>
  <si>
    <t>37.5Co+37.5Cr+0Fe+12.5Mn+12.5Ni in x%</t>
  </si>
  <si>
    <t>Point Calculation_417</t>
  </si>
  <si>
    <t>37.5Co+37.5Cr+0Fe+25Mn+0Ni in x%</t>
  </si>
  <si>
    <t>Point Calculation_418</t>
  </si>
  <si>
    <t>37.5Co+37.5Cr+12.5Fe+0Mn+12.5Ni in x%</t>
  </si>
  <si>
    <t>Point Calculation_419</t>
  </si>
  <si>
    <t>37.5Co+37.5Cr+12.5Fe+12.5Mn+0Ni in x%</t>
  </si>
  <si>
    <t>Point Calculation_420</t>
  </si>
  <si>
    <t>37.5Co+37.5Cr+25Fe+0Mn+0Ni in x%</t>
  </si>
  <si>
    <t>Point Calculation_421</t>
  </si>
  <si>
    <t>37.5Co+50Cr+0Fe+0Mn+12.5Ni in x%</t>
  </si>
  <si>
    <t>Point Calculation_422</t>
  </si>
  <si>
    <t>37.5Co+50Cr+0Fe+12.5Mn+0Ni in x%</t>
  </si>
  <si>
    <t>Point Calculation_423</t>
  </si>
  <si>
    <t>37.5Co+50Cr+12.5Fe+0Mn+0Ni in x%</t>
  </si>
  <si>
    <t>Point Calculation_424</t>
  </si>
  <si>
    <t>37.5Co+62.5Cr+0Fe+0Mn+0Ni in x%</t>
  </si>
  <si>
    <t>Point Calculation_425</t>
  </si>
  <si>
    <t>50Co+0Cr+0Fe+0Mn+50Ni in x%</t>
  </si>
  <si>
    <t>Point Calculation_426</t>
  </si>
  <si>
    <t>50Co+0Cr+0Fe+12.5Mn+37.5Ni in x%</t>
  </si>
  <si>
    <t>Point Calculation_427</t>
  </si>
  <si>
    <t>50Co+0Cr+0Fe+25Mn+25Ni in x%</t>
  </si>
  <si>
    <t>Point Calculation_428</t>
  </si>
  <si>
    <t>50Co+0Cr+0Fe+37.5Mn+12.5Ni in x%</t>
  </si>
  <si>
    <t>Point Calculation_429</t>
  </si>
  <si>
    <t>50Co+0Cr+0Fe+50Mn+0Ni in x%</t>
  </si>
  <si>
    <t>Point Calculation_430</t>
  </si>
  <si>
    <t>50Co+0Cr+12.5Fe+0Mn+37.5Ni in x%</t>
  </si>
  <si>
    <t>Point Calculation_431</t>
  </si>
  <si>
    <t>50Co+0Cr+12.5Fe+12.5Mn+25Ni in x%</t>
  </si>
  <si>
    <t>Point Calculation_432</t>
  </si>
  <si>
    <t>50Co+0Cr+12.5Fe+25Mn+12.5Ni in x%</t>
  </si>
  <si>
    <t>Point Calculation_433</t>
  </si>
  <si>
    <t>50Co+0Cr+12.5Fe+37.5Mn+0Ni in x%</t>
  </si>
  <si>
    <t>Point Calculation_434</t>
  </si>
  <si>
    <t>50Co+0Cr+25Fe+0Mn+25Ni in x%</t>
  </si>
  <si>
    <t>Point Calculation_435</t>
  </si>
  <si>
    <t>50Co+0Cr+25Fe+12.5Mn+12.5Ni in x%</t>
  </si>
  <si>
    <t>Point Calculation_436</t>
  </si>
  <si>
    <t>50Co+0Cr+25Fe+25Mn+0Ni in x%</t>
  </si>
  <si>
    <t>Point Calculation_437</t>
  </si>
  <si>
    <t>50Co+0Cr+37.5Fe+0Mn+12.5Ni in x%</t>
  </si>
  <si>
    <t>Point Calculation_438</t>
  </si>
  <si>
    <t>50Co+0Cr+37.5Fe+12.5Mn+0Ni in x%</t>
  </si>
  <si>
    <t>Point Calculation_439</t>
  </si>
  <si>
    <t>50Co+0Cr+50Fe+0Mn+0Ni in x%</t>
  </si>
  <si>
    <t>Point Calculation_440</t>
  </si>
  <si>
    <t>50Co+12.5Cr+0Fe+0Mn+37.5Ni in x%</t>
  </si>
  <si>
    <t>Point Calculation_441</t>
  </si>
  <si>
    <t>50Co+12.5Cr+0Fe+12.5Mn+25Ni in x%</t>
  </si>
  <si>
    <t>Point Calculation_442</t>
  </si>
  <si>
    <t>50Co+12.5Cr+0Fe+25Mn+12.5Ni in x%</t>
  </si>
  <si>
    <t>Point Calculation_443</t>
  </si>
  <si>
    <t>50Co+12.5Cr+0Fe+37.5Mn+0Ni in x%</t>
  </si>
  <si>
    <t>Point Calculation_444</t>
  </si>
  <si>
    <t>50Co+12.5Cr+12.5Fe+0Mn+25Ni in x%</t>
  </si>
  <si>
    <t>Point Calculation_445</t>
  </si>
  <si>
    <t>50Co+12.5Cr+12.5Fe+12.5Mn+12.5Ni in x%</t>
  </si>
  <si>
    <t>Point Calculation_446</t>
  </si>
  <si>
    <t>50Co+12.5Cr+12.5Fe+25Mn+0Ni in x%</t>
  </si>
  <si>
    <t>Point Calculation_447</t>
  </si>
  <si>
    <t>50Co+12.5Cr+25Fe+0Mn+12.5Ni in x%</t>
  </si>
  <si>
    <t>Point Calculation_448</t>
  </si>
  <si>
    <t>50Co+12.5Cr+25Fe+12.5Mn+0Ni in x%</t>
  </si>
  <si>
    <t>Point Calculation_449</t>
  </si>
  <si>
    <t>50Co+12.5Cr+37.5Fe+0Mn+0Ni in x%</t>
  </si>
  <si>
    <t>Point Calculation_450</t>
  </si>
  <si>
    <t>50Co+25Cr+0Fe+0Mn+25Ni in x%</t>
  </si>
  <si>
    <t>Point Calculation_451</t>
  </si>
  <si>
    <t>50Co+25Cr+0Fe+12.5Mn+12.5Ni in x%</t>
  </si>
  <si>
    <t>Point Calculation_452</t>
  </si>
  <si>
    <t>50Co+25Cr+0Fe+25Mn+0Ni in x%</t>
  </si>
  <si>
    <t>Point Calculation_453</t>
  </si>
  <si>
    <t>50Co+25Cr+12.5Fe+0Mn+12.5Ni in x%</t>
  </si>
  <si>
    <t>Point Calculation_454</t>
  </si>
  <si>
    <t>50Co+25Cr+12.5Fe+12.5Mn+0Ni in x%</t>
  </si>
  <si>
    <t>Point Calculation_455</t>
  </si>
  <si>
    <t>50Co+25Cr+25Fe+0Mn+0Ni in x%</t>
  </si>
  <si>
    <t>Point Calculation_456</t>
  </si>
  <si>
    <t>50Co+37.5Cr+0Fe+0Mn+12.5Ni in x%</t>
  </si>
  <si>
    <t>Point Calculation_457</t>
  </si>
  <si>
    <t>50Co+37.5Cr+0Fe+12.5Mn+0Ni in x%</t>
  </si>
  <si>
    <t>Point Calculation_458</t>
  </si>
  <si>
    <t>50Co+37.5Cr+12.5Fe+0Mn+0Ni in x%</t>
  </si>
  <si>
    <t>Point Calculation_459</t>
  </si>
  <si>
    <t>50Co+50Cr+0Fe+0Mn+0Ni in x%</t>
  </si>
  <si>
    <t>Point Calculation_460</t>
  </si>
  <si>
    <t>62.5Co+0Cr+0Fe+0Mn+37.5Ni in x%</t>
  </si>
  <si>
    <t>Point Calculation_461</t>
  </si>
  <si>
    <t>62.5Co+0Cr+0Fe+12.5Mn+25Ni in x%</t>
  </si>
  <si>
    <t>Point Calculation_462</t>
  </si>
  <si>
    <t>62.5Co+0Cr+0Fe+25Mn+12.5Ni in x%</t>
  </si>
  <si>
    <t>Point Calculation_463</t>
  </si>
  <si>
    <t>62.5Co+0Cr+0Fe+37.5Mn+0Ni in x%</t>
  </si>
  <si>
    <t>Point Calculation_464</t>
  </si>
  <si>
    <t>62.5Co+0Cr+12.5Fe+0Mn+25Ni in x%</t>
  </si>
  <si>
    <t>Point Calculation_465</t>
  </si>
  <si>
    <t>62.5Co+0Cr+12.5Fe+12.5Mn+12.5Ni in x%</t>
  </si>
  <si>
    <t>Point Calculation_466</t>
  </si>
  <si>
    <t>62.5Co+0Cr+12.5Fe+25Mn+0Ni in x%</t>
  </si>
  <si>
    <t>Point Calculation_467</t>
  </si>
  <si>
    <t>62.5Co+0Cr+25Fe+0Mn+12.5Ni in x%</t>
  </si>
  <si>
    <t>Point Calculation_468</t>
  </si>
  <si>
    <t>62.5Co+0Cr+25Fe+12.5Mn+0Ni in x%</t>
  </si>
  <si>
    <t>Point Calculation_469</t>
  </si>
  <si>
    <t>62.5Co+0Cr+37.5Fe+0Mn+0Ni in x%</t>
  </si>
  <si>
    <t>Point Calculation_470</t>
  </si>
  <si>
    <t>62.5Co+12.5Cr+0Fe+0Mn+25Ni in x%</t>
  </si>
  <si>
    <t>Point Calculation_471</t>
  </si>
  <si>
    <t>62.5Co+12.5Cr+0Fe+12.5Mn+12.5Ni in x%</t>
  </si>
  <si>
    <t>Point Calculation_472</t>
  </si>
  <si>
    <t>62.5Co+12.5Cr+0Fe+25Mn+0Ni in x%</t>
  </si>
  <si>
    <t>Point Calculation_473</t>
  </si>
  <si>
    <t>62.5Co+12.5Cr+12.5Fe+0Mn+12.5Ni in x%</t>
  </si>
  <si>
    <t>Point Calculation_474</t>
  </si>
  <si>
    <t>62.5Co+12.5Cr+12.5Fe+12.5Mn+0Ni in x%</t>
  </si>
  <si>
    <t>Point Calculation_475</t>
  </si>
  <si>
    <t>62.5Co+12.5Cr+25Fe+0Mn+0Ni in x%</t>
  </si>
  <si>
    <t>Point Calculation_476</t>
  </si>
  <si>
    <t>62.5Co+25Cr+0Fe+0Mn+12.5Ni in x%</t>
  </si>
  <si>
    <t>Point Calculation_477</t>
  </si>
  <si>
    <t>62.5Co+25Cr+0Fe+12.5Mn+0Ni in x%</t>
  </si>
  <si>
    <t>Point Calculation_478</t>
  </si>
  <si>
    <t>62.5Co+25Cr+12.5Fe+0Mn+0Ni in x%</t>
  </si>
  <si>
    <t>Point Calculation_479</t>
  </si>
  <si>
    <t>62.5Co+37.5Cr+0Fe+0Mn+0Ni in x%</t>
  </si>
  <si>
    <t>Point Calculation_480</t>
  </si>
  <si>
    <t>75Co+0Cr+0Fe+0Mn+25Ni in x%</t>
  </si>
  <si>
    <t>Point Calculation_481</t>
  </si>
  <si>
    <t>75Co+0Cr+0Fe+12.5Mn+12.5Ni in x%</t>
  </si>
  <si>
    <t>Point Calculation_482</t>
  </si>
  <si>
    <t>75Co+0Cr+0Fe+25Mn+0Ni in x%</t>
  </si>
  <si>
    <t>Point Calculation_483</t>
  </si>
  <si>
    <t>75Co+0Cr+12.5Fe+0Mn+12.5Ni in x%</t>
  </si>
  <si>
    <t>Point Calculation_484</t>
  </si>
  <si>
    <t>75Co+0Cr+12.5Fe+12.5Mn+0Ni in x%</t>
  </si>
  <si>
    <t>Point Calculation_485</t>
  </si>
  <si>
    <t>75Co+0Cr+25Fe+0Mn+0Ni in x%</t>
  </si>
  <si>
    <t>Point Calculation_486</t>
  </si>
  <si>
    <t>75Co+12.5Cr+0Fe+0Mn+12.5Ni in x%</t>
  </si>
  <si>
    <t>Point Calculation_487</t>
  </si>
  <si>
    <t>75Co+12.5Cr+0Fe+12.5Mn+0Ni in x%</t>
  </si>
  <si>
    <t>Point Calculation_488</t>
  </si>
  <si>
    <t>75Co+12.5Cr+12.5Fe+0Mn+0Ni in x%</t>
  </si>
  <si>
    <t>Point Calculation_489</t>
  </si>
  <si>
    <t>75Co+25Cr+0Fe+0Mn+0Ni in x%</t>
  </si>
  <si>
    <t>Point Calculation_490</t>
  </si>
  <si>
    <t>87.5Co+0Cr+0Fe+0Mn+12.5Ni in x%</t>
  </si>
  <si>
    <t>Point Calculation_491</t>
  </si>
  <si>
    <t>87.5Co+0Cr+0Fe+12.5Mn+0Ni in x%</t>
  </si>
  <si>
    <t>Point Calculation_492</t>
  </si>
  <si>
    <t>87.5Co+0Cr+12.5Fe+0Mn+0Ni in x%</t>
  </si>
  <si>
    <t>Point Calculation_493</t>
  </si>
  <si>
    <t>87.5Co+12.5Cr+0Fe+0Mn+0Ni in x%</t>
  </si>
  <si>
    <t>Point Calculation_494</t>
  </si>
  <si>
    <t>100Co+0Cr+0Fe+0Mn+0Ni in x%</t>
  </si>
  <si>
    <t>x%(Ni)</t>
  </si>
  <si>
    <t>x%(Mn)</t>
  </si>
  <si>
    <t>x%(Fe)</t>
  </si>
  <si>
    <t>x%(Cr)</t>
  </si>
  <si>
    <t>x%(Co)</t>
  </si>
  <si>
    <t>VEC</t>
  </si>
  <si>
    <t>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</si>
</sst>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L496"/>
  <sheetViews>
    <sheetView tabSelected="1" workbookViewId="0">
      <selection activeCell="H5" sqref="H5"/>
    </sheetView>
  </sheetViews>
  <sheetFormatPr defaultRowHeight="15" x14ac:dyDescent="0.25"/>
  <cols>
    <col min="1" max="1" width="20.28515625" bestFit="1" customWidth="1"/>
    <col min="2" max="2" width="38.5703125" bestFit="1" customWidth="1"/>
    <col min="4" max="4" width="21.42578125" bestFit="1" customWidth="1"/>
  </cols>
  <sheetData>
    <row r="1" spans="1:116" ht="14.2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1121</v>
      </c>
      <c r="F1" t="s">
        <v>1122</v>
      </c>
      <c r="G1" t="s">
        <v>1123</v>
      </c>
      <c r="H1" t="s">
        <v>1124</v>
      </c>
      <c r="I1" t="s">
        <v>1125</v>
      </c>
      <c r="J1" t="s">
        <v>1126</v>
      </c>
      <c r="K1" t="s">
        <v>1127</v>
      </c>
      <c r="L1" t="s">
        <v>4</v>
      </c>
      <c r="M1" t="s">
        <v>5</v>
      </c>
      <c r="N1" t="s">
        <v>6</v>
      </c>
      <c r="O1" t="s">
        <v>7</v>
      </c>
      <c r="P1" t="s">
        <v>8</v>
      </c>
      <c r="Q1" t="s">
        <v>9</v>
      </c>
      <c r="R1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15</v>
      </c>
      <c r="X1" t="s">
        <v>16</v>
      </c>
      <c r="Y1" t="s">
        <v>17</v>
      </c>
      <c r="Z1" t="s">
        <v>18</v>
      </c>
      <c r="AA1" t="s">
        <v>19</v>
      </c>
      <c r="AB1" t="s">
        <v>20</v>
      </c>
      <c r="AC1" t="s">
        <v>21</v>
      </c>
      <c r="AD1" t="s">
        <v>22</v>
      </c>
      <c r="AE1" t="s">
        <v>23</v>
      </c>
      <c r="AF1" t="s">
        <v>24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46</v>
      </c>
      <c r="BC1" t="s">
        <v>47</v>
      </c>
      <c r="BD1" t="s">
        <v>48</v>
      </c>
      <c r="BE1" t="s">
        <v>49</v>
      </c>
      <c r="BF1" t="s">
        <v>50</v>
      </c>
      <c r="BG1" t="s">
        <v>51</v>
      </c>
      <c r="BH1" t="s">
        <v>52</v>
      </c>
      <c r="BI1" t="s">
        <v>53</v>
      </c>
      <c r="BJ1" t="s">
        <v>54</v>
      </c>
      <c r="BK1" t="s">
        <v>55</v>
      </c>
      <c r="BL1" t="s">
        <v>56</v>
      </c>
      <c r="BM1" t="s">
        <v>57</v>
      </c>
      <c r="BN1" t="s">
        <v>58</v>
      </c>
      <c r="BO1" t="s">
        <v>59</v>
      </c>
      <c r="BP1" t="s">
        <v>60</v>
      </c>
      <c r="BQ1" t="s">
        <v>61</v>
      </c>
      <c r="BR1" t="s">
        <v>62</v>
      </c>
      <c r="BS1" t="s">
        <v>63</v>
      </c>
      <c r="BT1" t="s">
        <v>64</v>
      </c>
      <c r="BU1" t="s">
        <v>65</v>
      </c>
      <c r="BV1" t="s">
        <v>66</v>
      </c>
      <c r="BW1" t="s">
        <v>67</v>
      </c>
      <c r="BX1" t="s">
        <v>68</v>
      </c>
      <c r="BY1" t="s">
        <v>69</v>
      </c>
      <c r="BZ1" t="s">
        <v>70</v>
      </c>
      <c r="CA1" t="s">
        <v>71</v>
      </c>
      <c r="CB1" t="s">
        <v>72</v>
      </c>
      <c r="CC1" t="s">
        <v>73</v>
      </c>
      <c r="CD1" t="s">
        <v>74</v>
      </c>
      <c r="CE1" t="s">
        <v>75</v>
      </c>
      <c r="CF1" t="s">
        <v>76</v>
      </c>
      <c r="CG1" t="s">
        <v>77</v>
      </c>
      <c r="CH1" t="s">
        <v>78</v>
      </c>
      <c r="CI1" t="s">
        <v>79</v>
      </c>
      <c r="CJ1" t="s">
        <v>80</v>
      </c>
      <c r="CK1" t="s">
        <v>81</v>
      </c>
      <c r="CL1" t="s">
        <v>82</v>
      </c>
      <c r="CM1" t="s">
        <v>83</v>
      </c>
      <c r="CN1" t="s">
        <v>84</v>
      </c>
      <c r="CO1" t="s">
        <v>85</v>
      </c>
      <c r="CP1" t="s">
        <v>86</v>
      </c>
      <c r="CQ1" t="s">
        <v>87</v>
      </c>
      <c r="CR1" t="s">
        <v>88</v>
      </c>
      <c r="CS1" t="s">
        <v>89</v>
      </c>
      <c r="CT1" t="s">
        <v>90</v>
      </c>
      <c r="CU1" t="s">
        <v>91</v>
      </c>
      <c r="CV1" t="s">
        <v>92</v>
      </c>
      <c r="CW1" t="s">
        <v>93</v>
      </c>
      <c r="CX1" t="s">
        <v>94</v>
      </c>
      <c r="CY1" t="s">
        <v>95</v>
      </c>
      <c r="CZ1" t="s">
        <v>96</v>
      </c>
      <c r="DA1" t="s">
        <v>97</v>
      </c>
      <c r="DB1" t="s">
        <v>98</v>
      </c>
      <c r="DC1" t="s">
        <v>99</v>
      </c>
      <c r="DD1" t="s">
        <v>100</v>
      </c>
      <c r="DE1" t="s">
        <v>101</v>
      </c>
      <c r="DF1" t="s">
        <v>102</v>
      </c>
      <c r="DG1" t="s">
        <v>103</v>
      </c>
      <c r="DH1" t="s">
        <v>104</v>
      </c>
      <c r="DI1" t="s">
        <v>105</v>
      </c>
      <c r="DJ1" t="s">
        <v>106</v>
      </c>
      <c r="DK1" t="s">
        <v>107</v>
      </c>
      <c r="DL1" t="s">
        <v>108</v>
      </c>
    </row>
    <row r="2" spans="1:116" x14ac:dyDescent="0.25">
      <c r="A2" t="s">
        <v>109</v>
      </c>
      <c r="B2" t="s">
        <v>110</v>
      </c>
      <c r="C2">
        <v>1000</v>
      </c>
      <c r="D2" t="s">
        <v>111</v>
      </c>
      <c r="E2">
        <v>100</v>
      </c>
      <c r="J2">
        <f>((10*E2)/100)+((7*F2)/100)+((8*G2)/100)+((6*H2)/100)+((9*I2)/100)</f>
        <v>10</v>
      </c>
      <c r="K2">
        <f>IF(ISBLANK(E2)=TRUE,0,(E2/100)*LN(E2/100))+IF(ISBLANK(F2)=TRUE,0,(F2/100)*LN(F2/100))+IF(ISBLANK(G2)=TRUE,0,(G2/100)*LN(G2/100))+IF(ISBLANK(H2)=TRUE,0,(H2/100)*LN(H2/100))+IF(ISBLANK(I2)=TRUE,0,(I2/100)*LN(I2/100))</f>
        <v>0</v>
      </c>
      <c r="L2">
        <v>30769.96025</v>
      </c>
      <c r="M2">
        <v>1</v>
      </c>
    </row>
    <row r="3" spans="1:116" x14ac:dyDescent="0.25">
      <c r="A3" t="s">
        <v>112</v>
      </c>
      <c r="B3" t="s">
        <v>113</v>
      </c>
      <c r="C3">
        <v>1000</v>
      </c>
      <c r="D3" t="s">
        <v>111</v>
      </c>
      <c r="E3">
        <v>87.5</v>
      </c>
      <c r="F3">
        <v>12.5</v>
      </c>
      <c r="J3">
        <f t="shared" ref="J3:J66" si="0">((10*E3)/100)+((7*F3)/100)+((8*G3)/100)+((6*H3)/100)+((9*I3)/100)</f>
        <v>9.625</v>
      </c>
      <c r="K3">
        <f t="shared" ref="K3:K66" si="1">IF(ISBLANK(E3)=TRUE,0,(E3/100)*LN(E3/100))+IF(ISBLANK(F3)=TRUE,0,(F3/100)*LN(F3/100))+IF(ISBLANK(G3)=TRUE,0,(G3/100)*LN(G3/100))+IF(ISBLANK(H3)=TRUE,0,(H3/100)*LN(H3/100))+IF(ISBLANK(I3)=TRUE,0,(I3/100)*LN(I3/100))</f>
        <v>-0.37677016125643675</v>
      </c>
      <c r="L3">
        <v>27006.853920000001</v>
      </c>
      <c r="M3">
        <v>1</v>
      </c>
      <c r="R3">
        <v>172008.66620000001</v>
      </c>
      <c r="AI3">
        <v>0</v>
      </c>
      <c r="AJ3">
        <v>1</v>
      </c>
    </row>
    <row r="4" spans="1:116" x14ac:dyDescent="0.25">
      <c r="A4" t="s">
        <v>114</v>
      </c>
      <c r="B4" t="s">
        <v>115</v>
      </c>
      <c r="C4">
        <v>1000</v>
      </c>
      <c r="D4" t="s">
        <v>111</v>
      </c>
      <c r="E4">
        <v>75</v>
      </c>
      <c r="F4">
        <v>25</v>
      </c>
      <c r="J4">
        <f t="shared" si="0"/>
        <v>9.25</v>
      </c>
      <c r="K4">
        <f t="shared" si="1"/>
        <v>-0.56233514461880829</v>
      </c>
      <c r="L4">
        <v>25446.013999999999</v>
      </c>
      <c r="M4">
        <v>1</v>
      </c>
      <c r="R4">
        <v>126451.2699</v>
      </c>
      <c r="AI4">
        <v>0</v>
      </c>
      <c r="AJ4">
        <v>1</v>
      </c>
    </row>
    <row r="5" spans="1:116" x14ac:dyDescent="0.25">
      <c r="A5" t="s">
        <v>116</v>
      </c>
      <c r="B5" t="s">
        <v>117</v>
      </c>
      <c r="C5">
        <v>1000</v>
      </c>
      <c r="D5" t="s">
        <v>111</v>
      </c>
      <c r="E5">
        <v>62.5</v>
      </c>
      <c r="F5">
        <v>37.5</v>
      </c>
      <c r="J5">
        <f t="shared" si="0"/>
        <v>8.875</v>
      </c>
      <c r="K5">
        <f t="shared" si="1"/>
        <v>-0.66156323815798213</v>
      </c>
      <c r="L5">
        <v>25662.450260000001</v>
      </c>
      <c r="M5">
        <v>1</v>
      </c>
      <c r="R5">
        <v>109721.8649</v>
      </c>
      <c r="AI5">
        <v>0</v>
      </c>
      <c r="AJ5">
        <v>1</v>
      </c>
    </row>
    <row r="6" spans="1:116" x14ac:dyDescent="0.25">
      <c r="A6" t="s">
        <v>118</v>
      </c>
      <c r="B6" t="s">
        <v>119</v>
      </c>
      <c r="C6">
        <v>1000</v>
      </c>
      <c r="D6" t="s">
        <v>111</v>
      </c>
      <c r="E6">
        <v>50</v>
      </c>
      <c r="F6">
        <v>50</v>
      </c>
      <c r="J6">
        <f t="shared" si="0"/>
        <v>8.5</v>
      </c>
      <c r="K6">
        <f t="shared" si="1"/>
        <v>-0.69314718055994529</v>
      </c>
      <c r="L6">
        <v>27205.31725</v>
      </c>
      <c r="M6">
        <v>1</v>
      </c>
      <c r="R6">
        <v>101459.2157</v>
      </c>
      <c r="AI6">
        <v>0</v>
      </c>
      <c r="AJ6">
        <v>1</v>
      </c>
    </row>
    <row r="7" spans="1:116" x14ac:dyDescent="0.25">
      <c r="A7" t="s">
        <v>120</v>
      </c>
      <c r="B7" t="s">
        <v>121</v>
      </c>
      <c r="C7">
        <v>1000</v>
      </c>
      <c r="D7" t="s">
        <v>111</v>
      </c>
      <c r="E7">
        <v>37.5</v>
      </c>
      <c r="F7">
        <v>62.5</v>
      </c>
      <c r="J7">
        <f t="shared" si="0"/>
        <v>8.125</v>
      </c>
      <c r="K7">
        <f t="shared" si="1"/>
        <v>-0.66156323815798213</v>
      </c>
      <c r="L7">
        <v>29622.89011</v>
      </c>
      <c r="M7">
        <v>1</v>
      </c>
      <c r="R7">
        <v>98835.464600000007</v>
      </c>
      <c r="AI7">
        <v>0</v>
      </c>
      <c r="AJ7">
        <v>1</v>
      </c>
    </row>
    <row r="8" spans="1:116" x14ac:dyDescent="0.25">
      <c r="A8" t="s">
        <v>122</v>
      </c>
      <c r="B8" t="s">
        <v>123</v>
      </c>
      <c r="C8">
        <v>1000</v>
      </c>
      <c r="D8" t="s">
        <v>111</v>
      </c>
      <c r="E8">
        <v>25</v>
      </c>
      <c r="F8">
        <v>75</v>
      </c>
      <c r="J8">
        <f t="shared" si="0"/>
        <v>7.75</v>
      </c>
      <c r="K8">
        <f t="shared" si="1"/>
        <v>-0.56233514461880829</v>
      </c>
      <c r="L8">
        <v>32462.926920000002</v>
      </c>
      <c r="M8">
        <v>1</v>
      </c>
      <c r="R8">
        <v>104666.8927</v>
      </c>
      <c r="AI8">
        <v>0</v>
      </c>
      <c r="AJ8">
        <v>1</v>
      </c>
    </row>
    <row r="9" spans="1:116" x14ac:dyDescent="0.25">
      <c r="A9" t="s">
        <v>124</v>
      </c>
      <c r="B9" t="s">
        <v>125</v>
      </c>
      <c r="C9">
        <v>1000</v>
      </c>
      <c r="D9" t="s">
        <v>111</v>
      </c>
      <c r="E9">
        <v>12.5</v>
      </c>
      <c r="F9">
        <v>87.5</v>
      </c>
      <c r="J9">
        <f t="shared" si="0"/>
        <v>7.375</v>
      </c>
      <c r="K9">
        <f t="shared" si="1"/>
        <v>-0.37677016125643675</v>
      </c>
      <c r="L9">
        <v>35272.097399999999</v>
      </c>
      <c r="M9">
        <v>1</v>
      </c>
      <c r="R9">
        <v>139510.1422</v>
      </c>
      <c r="AI9">
        <v>0</v>
      </c>
      <c r="AJ9">
        <v>1</v>
      </c>
    </row>
    <row r="10" spans="1:116" x14ac:dyDescent="0.25">
      <c r="A10" t="s">
        <v>126</v>
      </c>
      <c r="B10" t="s">
        <v>127</v>
      </c>
      <c r="C10">
        <v>1000</v>
      </c>
      <c r="D10" t="s">
        <v>128</v>
      </c>
      <c r="F10">
        <v>100</v>
      </c>
      <c r="J10">
        <f t="shared" si="0"/>
        <v>7</v>
      </c>
      <c r="K10">
        <f t="shared" si="1"/>
        <v>0</v>
      </c>
      <c r="L10">
        <v>35439.77807</v>
      </c>
      <c r="N10">
        <v>1</v>
      </c>
    </row>
    <row r="11" spans="1:116" x14ac:dyDescent="0.25">
      <c r="A11" t="s">
        <v>129</v>
      </c>
      <c r="B11" t="s">
        <v>130</v>
      </c>
      <c r="C11">
        <v>1000</v>
      </c>
      <c r="D11" t="s">
        <v>111</v>
      </c>
      <c r="E11">
        <v>87.5</v>
      </c>
      <c r="G11">
        <v>12.5</v>
      </c>
      <c r="J11">
        <f t="shared" si="0"/>
        <v>9.75</v>
      </c>
      <c r="K11">
        <f t="shared" si="1"/>
        <v>-0.37677016125643675</v>
      </c>
      <c r="L11">
        <v>29244.35382</v>
      </c>
      <c r="M11">
        <v>1</v>
      </c>
      <c r="R11">
        <v>139608.50630000001</v>
      </c>
      <c r="AJ11">
        <v>1</v>
      </c>
      <c r="AK11">
        <v>0</v>
      </c>
    </row>
    <row r="12" spans="1:116" x14ac:dyDescent="0.25">
      <c r="A12" t="s">
        <v>131</v>
      </c>
      <c r="B12" t="s">
        <v>132</v>
      </c>
      <c r="C12">
        <v>1000</v>
      </c>
      <c r="D12" t="s">
        <v>111</v>
      </c>
      <c r="E12">
        <v>75</v>
      </c>
      <c r="F12">
        <v>12.5</v>
      </c>
      <c r="G12">
        <v>12.5</v>
      </c>
      <c r="J12">
        <f t="shared" si="0"/>
        <v>9.375</v>
      </c>
      <c r="K12">
        <f t="shared" si="1"/>
        <v>-0.73562193975879464</v>
      </c>
      <c r="L12">
        <v>26581.430550000001</v>
      </c>
      <c r="M12">
        <v>1</v>
      </c>
      <c r="R12">
        <v>68669.991569999998</v>
      </c>
      <c r="S12">
        <v>323661.1862</v>
      </c>
      <c r="AI12">
        <v>0</v>
      </c>
      <c r="AJ12">
        <v>0.76646294459999997</v>
      </c>
      <c r="AK12">
        <v>-0.642288529</v>
      </c>
      <c r="AL12">
        <v>0.76646294400000003</v>
      </c>
      <c r="AM12">
        <v>0</v>
      </c>
      <c r="AN12">
        <v>0.64228852979999995</v>
      </c>
    </row>
    <row r="13" spans="1:116" x14ac:dyDescent="0.25">
      <c r="A13" t="s">
        <v>133</v>
      </c>
      <c r="B13" t="s">
        <v>134</v>
      </c>
      <c r="C13">
        <v>1000</v>
      </c>
      <c r="D13" t="s">
        <v>111</v>
      </c>
      <c r="E13">
        <v>62.5</v>
      </c>
      <c r="F13">
        <v>25</v>
      </c>
      <c r="G13">
        <v>12.5</v>
      </c>
      <c r="J13">
        <f t="shared" si="0"/>
        <v>9</v>
      </c>
      <c r="K13">
        <f t="shared" si="1"/>
        <v>-0.90025605126853692</v>
      </c>
      <c r="L13">
        <v>25827.4054</v>
      </c>
      <c r="M13">
        <v>1</v>
      </c>
      <c r="R13">
        <v>69077.08167</v>
      </c>
      <c r="S13">
        <v>230691.15599999999</v>
      </c>
      <c r="AI13">
        <v>0</v>
      </c>
      <c r="AJ13">
        <v>0.78932477810000001</v>
      </c>
      <c r="AK13">
        <v>-0.61397589100000005</v>
      </c>
      <c r="AL13">
        <v>0.78932462370000001</v>
      </c>
      <c r="AM13">
        <v>0</v>
      </c>
      <c r="AN13">
        <v>0.61397608940000004</v>
      </c>
    </row>
    <row r="14" spans="1:116" x14ac:dyDescent="0.25">
      <c r="A14" t="s">
        <v>135</v>
      </c>
      <c r="B14" t="s">
        <v>136</v>
      </c>
      <c r="C14">
        <v>1000</v>
      </c>
      <c r="D14" t="s">
        <v>111</v>
      </c>
      <c r="E14">
        <v>50</v>
      </c>
      <c r="F14">
        <v>37.5</v>
      </c>
      <c r="G14">
        <v>12.5</v>
      </c>
      <c r="J14">
        <f t="shared" si="0"/>
        <v>8.625</v>
      </c>
      <c r="K14">
        <f t="shared" si="1"/>
        <v>-0.97431475286934943</v>
      </c>
      <c r="L14">
        <v>26652.70897</v>
      </c>
      <c r="M14">
        <v>1</v>
      </c>
      <c r="R14">
        <v>71013.650899999993</v>
      </c>
      <c r="S14">
        <v>191569.39730000001</v>
      </c>
      <c r="AI14">
        <v>0</v>
      </c>
      <c r="AJ14">
        <v>0.79823791070000005</v>
      </c>
      <c r="AK14">
        <v>-0.60234229299999997</v>
      </c>
      <c r="AL14">
        <v>0.79823845839999996</v>
      </c>
      <c r="AM14">
        <v>0</v>
      </c>
      <c r="AN14">
        <v>0.60234156709999997</v>
      </c>
    </row>
    <row r="15" spans="1:116" x14ac:dyDescent="0.25">
      <c r="A15" t="s">
        <v>137</v>
      </c>
      <c r="B15" t="s">
        <v>138</v>
      </c>
      <c r="C15">
        <v>1000</v>
      </c>
      <c r="D15" t="s">
        <v>111</v>
      </c>
      <c r="E15">
        <v>37.5</v>
      </c>
      <c r="F15">
        <v>50</v>
      </c>
      <c r="G15">
        <v>12.5</v>
      </c>
      <c r="J15">
        <f t="shared" si="0"/>
        <v>8.25</v>
      </c>
      <c r="K15">
        <f t="shared" si="1"/>
        <v>-0.97431475286934943</v>
      </c>
      <c r="L15">
        <v>28611.448759999999</v>
      </c>
      <c r="M15">
        <v>1</v>
      </c>
      <c r="R15">
        <v>75074.097580000001</v>
      </c>
      <c r="S15">
        <v>167340.0863</v>
      </c>
      <c r="AI15">
        <v>0</v>
      </c>
      <c r="AJ15">
        <v>0.7925887117</v>
      </c>
      <c r="AK15">
        <v>-0.60975661869999997</v>
      </c>
      <c r="AL15">
        <v>0.79258871249999996</v>
      </c>
      <c r="AM15">
        <v>0</v>
      </c>
      <c r="AN15">
        <v>0.60975661759999999</v>
      </c>
    </row>
    <row r="16" spans="1:116" x14ac:dyDescent="0.25">
      <c r="A16" t="s">
        <v>139</v>
      </c>
      <c r="B16" t="s">
        <v>140</v>
      </c>
      <c r="C16">
        <v>1000</v>
      </c>
      <c r="D16" t="s">
        <v>111</v>
      </c>
      <c r="E16">
        <v>25</v>
      </c>
      <c r="F16">
        <v>62.5</v>
      </c>
      <c r="G16">
        <v>12.5</v>
      </c>
      <c r="J16">
        <f t="shared" si="0"/>
        <v>7.875</v>
      </c>
      <c r="K16">
        <f t="shared" si="1"/>
        <v>-0.90025605126853692</v>
      </c>
      <c r="L16">
        <v>31252.736410000001</v>
      </c>
      <c r="M16">
        <v>1</v>
      </c>
      <c r="R16">
        <v>83347.807480000003</v>
      </c>
      <c r="S16">
        <v>151673.7519</v>
      </c>
      <c r="AI16">
        <v>0</v>
      </c>
      <c r="AJ16">
        <v>0.74383491260000001</v>
      </c>
      <c r="AK16">
        <v>-0.6683633913</v>
      </c>
      <c r="AL16">
        <v>0.74383578049999999</v>
      </c>
      <c r="AM16">
        <v>0</v>
      </c>
      <c r="AN16">
        <v>0.66836242540000002</v>
      </c>
    </row>
    <row r="17" spans="1:42" x14ac:dyDescent="0.25">
      <c r="A17" t="s">
        <v>141</v>
      </c>
      <c r="B17" t="s">
        <v>142</v>
      </c>
      <c r="C17">
        <v>1000</v>
      </c>
      <c r="D17" t="s">
        <v>111</v>
      </c>
      <c r="E17">
        <v>12.5</v>
      </c>
      <c r="F17">
        <v>75</v>
      </c>
      <c r="G17">
        <v>12.5</v>
      </c>
      <c r="J17">
        <f t="shared" si="0"/>
        <v>7.5</v>
      </c>
      <c r="K17">
        <f t="shared" si="1"/>
        <v>-0.73562193975879464</v>
      </c>
      <c r="L17">
        <v>34124.521840000001</v>
      </c>
      <c r="M17">
        <v>1</v>
      </c>
      <c r="R17">
        <v>98454.320359999998</v>
      </c>
      <c r="S17">
        <v>160285.8222</v>
      </c>
      <c r="AI17">
        <v>0</v>
      </c>
      <c r="AJ17">
        <v>0.4462443311</v>
      </c>
      <c r="AK17">
        <v>-0.89491116709999996</v>
      </c>
      <c r="AL17">
        <v>-0.44624450430000001</v>
      </c>
      <c r="AM17">
        <v>0</v>
      </c>
      <c r="AN17">
        <v>-0.89491108070000003</v>
      </c>
    </row>
    <row r="18" spans="1:42" x14ac:dyDescent="0.25">
      <c r="A18" t="s">
        <v>143</v>
      </c>
      <c r="B18" t="s">
        <v>144</v>
      </c>
      <c r="C18">
        <v>1000</v>
      </c>
      <c r="D18" t="s">
        <v>128</v>
      </c>
      <c r="F18">
        <v>87.5</v>
      </c>
      <c r="G18">
        <v>12.5</v>
      </c>
      <c r="J18">
        <f t="shared" si="0"/>
        <v>7.125</v>
      </c>
      <c r="K18">
        <f t="shared" si="1"/>
        <v>-0.37677016125643675</v>
      </c>
      <c r="L18">
        <v>35050.106310000003</v>
      </c>
      <c r="N18">
        <v>1</v>
      </c>
      <c r="T18">
        <v>112640.80989999999</v>
      </c>
      <c r="AO18">
        <v>1</v>
      </c>
      <c r="AP18">
        <v>0</v>
      </c>
    </row>
    <row r="19" spans="1:42" x14ac:dyDescent="0.25">
      <c r="A19" t="s">
        <v>145</v>
      </c>
      <c r="B19" t="s">
        <v>146</v>
      </c>
      <c r="C19">
        <v>1000</v>
      </c>
      <c r="D19" t="s">
        <v>111</v>
      </c>
      <c r="E19">
        <v>75</v>
      </c>
      <c r="G19">
        <v>25</v>
      </c>
      <c r="J19">
        <f t="shared" si="0"/>
        <v>9.5</v>
      </c>
      <c r="K19">
        <f t="shared" si="1"/>
        <v>-0.56233514461880829</v>
      </c>
      <c r="L19">
        <v>28890.878680000002</v>
      </c>
      <c r="M19">
        <v>1</v>
      </c>
      <c r="R19">
        <v>91359.066380000004</v>
      </c>
      <c r="AJ19">
        <v>1</v>
      </c>
      <c r="AK19">
        <v>0</v>
      </c>
    </row>
    <row r="20" spans="1:42" x14ac:dyDescent="0.25">
      <c r="A20" t="s">
        <v>147</v>
      </c>
      <c r="B20" t="s">
        <v>148</v>
      </c>
      <c r="C20">
        <v>1000</v>
      </c>
      <c r="D20" t="s">
        <v>111</v>
      </c>
      <c r="E20">
        <v>62.5</v>
      </c>
      <c r="F20">
        <v>12.5</v>
      </c>
      <c r="G20">
        <v>25</v>
      </c>
      <c r="J20">
        <f t="shared" si="0"/>
        <v>9.125</v>
      </c>
      <c r="K20">
        <f t="shared" si="1"/>
        <v>-0.90025605126853692</v>
      </c>
      <c r="L20">
        <v>27224.371070000001</v>
      </c>
      <c r="M20">
        <v>1</v>
      </c>
      <c r="R20">
        <v>45678.476179999998</v>
      </c>
      <c r="S20">
        <v>299293.50880000001</v>
      </c>
      <c r="AI20">
        <v>0</v>
      </c>
      <c r="AJ20">
        <v>0.69513068209999995</v>
      </c>
      <c r="AK20">
        <v>-0.71888339440000004</v>
      </c>
      <c r="AL20">
        <v>-0.69513068219999996</v>
      </c>
      <c r="AM20">
        <v>0</v>
      </c>
      <c r="AN20">
        <v>-0.71888339440000004</v>
      </c>
    </row>
    <row r="21" spans="1:42" x14ac:dyDescent="0.25">
      <c r="A21" t="s">
        <v>149</v>
      </c>
      <c r="B21" t="s">
        <v>150</v>
      </c>
      <c r="C21">
        <v>1000</v>
      </c>
      <c r="D21" t="s">
        <v>111</v>
      </c>
      <c r="E21">
        <v>50</v>
      </c>
      <c r="F21">
        <v>25</v>
      </c>
      <c r="G21">
        <v>25</v>
      </c>
      <c r="J21">
        <f t="shared" si="0"/>
        <v>8.75</v>
      </c>
      <c r="K21">
        <f t="shared" si="1"/>
        <v>-1.0397207708399179</v>
      </c>
      <c r="L21">
        <v>27132.360619999999</v>
      </c>
      <c r="M21">
        <v>1</v>
      </c>
      <c r="R21">
        <v>47255.223899999997</v>
      </c>
      <c r="S21">
        <v>207655.92079999999</v>
      </c>
      <c r="AI21">
        <v>0</v>
      </c>
      <c r="AJ21">
        <v>0.67213159980000003</v>
      </c>
      <c r="AK21">
        <v>-0.74043170690000004</v>
      </c>
      <c r="AL21">
        <v>-0.67213133120000002</v>
      </c>
      <c r="AM21">
        <v>0</v>
      </c>
      <c r="AN21">
        <v>-0.74043195070000001</v>
      </c>
    </row>
    <row r="22" spans="1:42" x14ac:dyDescent="0.25">
      <c r="A22" t="s">
        <v>151</v>
      </c>
      <c r="B22" t="s">
        <v>152</v>
      </c>
      <c r="C22">
        <v>1000</v>
      </c>
      <c r="D22" t="s">
        <v>111</v>
      </c>
      <c r="E22">
        <v>37.5</v>
      </c>
      <c r="F22">
        <v>37.5</v>
      </c>
      <c r="G22">
        <v>25</v>
      </c>
      <c r="J22">
        <f t="shared" si="0"/>
        <v>8.375</v>
      </c>
      <c r="K22">
        <f t="shared" si="1"/>
        <v>-1.0821955300387673</v>
      </c>
      <c r="L22">
        <v>28428.027539999999</v>
      </c>
      <c r="M22">
        <v>1</v>
      </c>
      <c r="R22">
        <v>49785.25907</v>
      </c>
      <c r="S22">
        <v>170983.06359999999</v>
      </c>
      <c r="AI22">
        <v>0</v>
      </c>
      <c r="AJ22">
        <v>0.63030589910000001</v>
      </c>
      <c r="AK22">
        <v>-0.77634687710000005</v>
      </c>
      <c r="AL22">
        <v>-0.63030461930000004</v>
      </c>
      <c r="AM22">
        <v>0</v>
      </c>
      <c r="AN22">
        <v>-0.77634791619999999</v>
      </c>
    </row>
    <row r="23" spans="1:42" x14ac:dyDescent="0.25">
      <c r="A23" t="s">
        <v>153</v>
      </c>
      <c r="B23" t="s">
        <v>154</v>
      </c>
      <c r="C23">
        <v>1000</v>
      </c>
      <c r="D23" t="s">
        <v>111</v>
      </c>
      <c r="E23">
        <v>25</v>
      </c>
      <c r="F23">
        <v>50</v>
      </c>
      <c r="G23">
        <v>25</v>
      </c>
      <c r="J23">
        <f t="shared" si="0"/>
        <v>8</v>
      </c>
      <c r="K23">
        <f t="shared" si="1"/>
        <v>-1.0397207708399179</v>
      </c>
      <c r="L23">
        <v>30667.5543</v>
      </c>
      <c r="M23">
        <v>1</v>
      </c>
      <c r="R23">
        <v>53727.324789999999</v>
      </c>
      <c r="S23">
        <v>154143.57250000001</v>
      </c>
      <c r="AI23">
        <v>0</v>
      </c>
      <c r="AJ23">
        <v>0.54267549250000002</v>
      </c>
      <c r="AK23">
        <v>-0.83994244439999999</v>
      </c>
      <c r="AL23">
        <v>-0.54267549319999997</v>
      </c>
      <c r="AM23">
        <v>0</v>
      </c>
      <c r="AN23">
        <v>-0.83994244389999995</v>
      </c>
    </row>
    <row r="24" spans="1:42" x14ac:dyDescent="0.25">
      <c r="A24" t="s">
        <v>155</v>
      </c>
      <c r="B24" t="s">
        <v>156</v>
      </c>
      <c r="C24">
        <v>1000</v>
      </c>
      <c r="D24" t="s">
        <v>111</v>
      </c>
      <c r="E24">
        <v>12.5</v>
      </c>
      <c r="F24">
        <v>62.5</v>
      </c>
      <c r="G24">
        <v>25</v>
      </c>
      <c r="J24">
        <f t="shared" si="0"/>
        <v>7.625</v>
      </c>
      <c r="K24">
        <f t="shared" si="1"/>
        <v>-0.90025605126853692</v>
      </c>
      <c r="L24">
        <v>33400.013010000002</v>
      </c>
      <c r="M24">
        <v>1</v>
      </c>
      <c r="R24">
        <v>59107.751640000002</v>
      </c>
      <c r="S24">
        <v>169788.0662</v>
      </c>
      <c r="AI24">
        <v>0</v>
      </c>
      <c r="AJ24">
        <v>0.33566710119999998</v>
      </c>
      <c r="AK24">
        <v>-0.94198067770000005</v>
      </c>
      <c r="AL24">
        <v>-0.33566832330000002</v>
      </c>
      <c r="AM24">
        <v>0</v>
      </c>
      <c r="AN24">
        <v>-0.94198024219999998</v>
      </c>
    </row>
    <row r="25" spans="1:42" x14ac:dyDescent="0.25">
      <c r="A25" t="s">
        <v>157</v>
      </c>
      <c r="B25" t="s">
        <v>158</v>
      </c>
      <c r="C25">
        <v>1000</v>
      </c>
      <c r="D25" t="s">
        <v>128</v>
      </c>
      <c r="F25">
        <v>75</v>
      </c>
      <c r="G25">
        <v>25</v>
      </c>
      <c r="J25">
        <f t="shared" si="0"/>
        <v>7.25</v>
      </c>
      <c r="K25">
        <f t="shared" si="1"/>
        <v>-0.56233514461880829</v>
      </c>
      <c r="L25">
        <v>35020.372040000002</v>
      </c>
      <c r="N25">
        <v>1</v>
      </c>
      <c r="T25">
        <v>72314.625169999999</v>
      </c>
      <c r="AO25">
        <v>1</v>
      </c>
      <c r="AP25">
        <v>0</v>
      </c>
    </row>
    <row r="26" spans="1:42" x14ac:dyDescent="0.25">
      <c r="A26" t="s">
        <v>159</v>
      </c>
      <c r="B26" t="s">
        <v>160</v>
      </c>
      <c r="C26">
        <v>1000</v>
      </c>
      <c r="D26" t="s">
        <v>111</v>
      </c>
      <c r="E26">
        <v>62.5</v>
      </c>
      <c r="G26">
        <v>37.5</v>
      </c>
      <c r="J26">
        <f t="shared" si="0"/>
        <v>9.25</v>
      </c>
      <c r="K26">
        <f t="shared" si="1"/>
        <v>-0.66156323815798213</v>
      </c>
      <c r="L26">
        <v>29590.367969999999</v>
      </c>
      <c r="M26">
        <v>1</v>
      </c>
      <c r="R26">
        <v>69969.206390000007</v>
      </c>
      <c r="AJ26">
        <v>1</v>
      </c>
      <c r="AK26">
        <v>0</v>
      </c>
    </row>
    <row r="27" spans="1:42" x14ac:dyDescent="0.25">
      <c r="A27" t="s">
        <v>161</v>
      </c>
      <c r="B27" t="s">
        <v>162</v>
      </c>
      <c r="C27">
        <v>1000</v>
      </c>
      <c r="D27" t="s">
        <v>111</v>
      </c>
      <c r="E27">
        <v>50</v>
      </c>
      <c r="F27">
        <v>12.5</v>
      </c>
      <c r="G27">
        <v>37.5</v>
      </c>
      <c r="J27">
        <f t="shared" si="0"/>
        <v>8.875</v>
      </c>
      <c r="K27">
        <f t="shared" si="1"/>
        <v>-0.97431475286934943</v>
      </c>
      <c r="L27">
        <v>28644.6031</v>
      </c>
      <c r="M27">
        <v>1</v>
      </c>
      <c r="R27">
        <v>34923.957009999998</v>
      </c>
      <c r="S27">
        <v>295302.96409999998</v>
      </c>
      <c r="AI27">
        <v>0</v>
      </c>
      <c r="AJ27">
        <v>0.65732200510000005</v>
      </c>
      <c r="AK27">
        <v>-0.75360983380000002</v>
      </c>
      <c r="AL27">
        <v>-0.65732122559999995</v>
      </c>
      <c r="AM27">
        <v>0</v>
      </c>
      <c r="AN27">
        <v>-0.75361051369999998</v>
      </c>
    </row>
    <row r="28" spans="1:42" x14ac:dyDescent="0.25">
      <c r="A28" t="s">
        <v>163</v>
      </c>
      <c r="B28" t="s">
        <v>164</v>
      </c>
      <c r="C28">
        <v>1000</v>
      </c>
      <c r="D28" t="s">
        <v>111</v>
      </c>
      <c r="E28">
        <v>37.5</v>
      </c>
      <c r="F28">
        <v>25</v>
      </c>
      <c r="G28">
        <v>37.5</v>
      </c>
      <c r="J28">
        <f t="shared" si="0"/>
        <v>8.5</v>
      </c>
      <c r="K28">
        <f t="shared" si="1"/>
        <v>-1.0821955300387671</v>
      </c>
      <c r="L28">
        <v>29075.623769999998</v>
      </c>
      <c r="M28">
        <v>1</v>
      </c>
      <c r="R28">
        <v>36657.966540000001</v>
      </c>
      <c r="S28">
        <v>204894.38990000001</v>
      </c>
      <c r="AI28">
        <v>0</v>
      </c>
      <c r="AJ28">
        <v>0.60442521010000005</v>
      </c>
      <c r="AK28">
        <v>-0.79666188900000001</v>
      </c>
      <c r="AL28">
        <v>-0.60442489399999999</v>
      </c>
      <c r="AM28">
        <v>0</v>
      </c>
      <c r="AN28">
        <v>-0.79666212879999998</v>
      </c>
    </row>
    <row r="29" spans="1:42" x14ac:dyDescent="0.25">
      <c r="A29" t="s">
        <v>165</v>
      </c>
      <c r="B29" t="s">
        <v>166</v>
      </c>
      <c r="C29">
        <v>1000</v>
      </c>
      <c r="D29" t="s">
        <v>111</v>
      </c>
      <c r="E29">
        <v>25</v>
      </c>
      <c r="F29">
        <v>37.5</v>
      </c>
      <c r="G29">
        <v>37.5</v>
      </c>
      <c r="J29">
        <f t="shared" si="0"/>
        <v>8.125</v>
      </c>
      <c r="K29">
        <f t="shared" si="1"/>
        <v>-1.0821955300387671</v>
      </c>
      <c r="L29">
        <v>30711.62484</v>
      </c>
      <c r="M29">
        <v>1</v>
      </c>
      <c r="R29">
        <v>39585.125549999997</v>
      </c>
      <c r="S29">
        <v>175098.31299999999</v>
      </c>
      <c r="AI29">
        <v>0</v>
      </c>
      <c r="AJ29">
        <v>0.52189392099999998</v>
      </c>
      <c r="AK29">
        <v>-0.85301039570000003</v>
      </c>
      <c r="AL29">
        <v>-0.52189207479999999</v>
      </c>
      <c r="AM29">
        <v>0</v>
      </c>
      <c r="AN29">
        <v>-0.85301152530000002</v>
      </c>
    </row>
    <row r="30" spans="1:42" x14ac:dyDescent="0.25">
      <c r="A30" t="s">
        <v>167</v>
      </c>
      <c r="B30" t="s">
        <v>168</v>
      </c>
      <c r="C30">
        <v>1000</v>
      </c>
      <c r="D30" t="s">
        <v>111</v>
      </c>
      <c r="E30">
        <v>12.5</v>
      </c>
      <c r="F30">
        <v>50</v>
      </c>
      <c r="G30">
        <v>37.5</v>
      </c>
      <c r="J30">
        <f t="shared" si="0"/>
        <v>7.75</v>
      </c>
      <c r="K30">
        <f t="shared" si="1"/>
        <v>-0.97431475286934943</v>
      </c>
      <c r="L30">
        <v>33104.499100000001</v>
      </c>
      <c r="M30">
        <v>1</v>
      </c>
      <c r="R30">
        <v>44444.040589999997</v>
      </c>
      <c r="S30">
        <v>185737.8744</v>
      </c>
      <c r="AI30">
        <v>0</v>
      </c>
      <c r="AJ30">
        <v>0.3527150101</v>
      </c>
      <c r="AK30">
        <v>-0.93573079550000005</v>
      </c>
      <c r="AL30">
        <v>-0.35271501049999998</v>
      </c>
      <c r="AM30">
        <v>0</v>
      </c>
      <c r="AN30">
        <v>-0.93573079540000004</v>
      </c>
    </row>
    <row r="31" spans="1:42" x14ac:dyDescent="0.25">
      <c r="A31" t="s">
        <v>169</v>
      </c>
      <c r="B31" t="s">
        <v>170</v>
      </c>
      <c r="C31">
        <v>1000</v>
      </c>
      <c r="D31" t="s">
        <v>111</v>
      </c>
      <c r="F31">
        <v>62.5</v>
      </c>
      <c r="G31">
        <v>37.5</v>
      </c>
      <c r="J31">
        <f t="shared" si="0"/>
        <v>7.375</v>
      </c>
      <c r="K31">
        <f t="shared" si="1"/>
        <v>-0.66156323815798213</v>
      </c>
      <c r="L31">
        <v>35799.210520000001</v>
      </c>
      <c r="M31">
        <v>1</v>
      </c>
      <c r="R31">
        <v>50469.813439999998</v>
      </c>
      <c r="AI31">
        <v>0</v>
      </c>
      <c r="AK31">
        <v>1</v>
      </c>
    </row>
    <row r="32" spans="1:42" x14ac:dyDescent="0.25">
      <c r="A32" t="s">
        <v>171</v>
      </c>
      <c r="B32" t="s">
        <v>172</v>
      </c>
      <c r="C32">
        <v>1000</v>
      </c>
      <c r="D32" t="s">
        <v>111</v>
      </c>
      <c r="E32">
        <v>50</v>
      </c>
      <c r="G32">
        <v>50</v>
      </c>
      <c r="J32">
        <f t="shared" si="0"/>
        <v>9</v>
      </c>
      <c r="K32">
        <f t="shared" si="1"/>
        <v>-0.69314718055994529</v>
      </c>
      <c r="L32">
        <v>31043.441940000001</v>
      </c>
      <c r="M32">
        <v>1</v>
      </c>
      <c r="R32">
        <v>56315.02751</v>
      </c>
      <c r="AJ32">
        <v>1</v>
      </c>
      <c r="AK32">
        <v>0</v>
      </c>
    </row>
    <row r="33" spans="1:46" x14ac:dyDescent="0.25">
      <c r="A33" t="s">
        <v>173</v>
      </c>
      <c r="B33" t="s">
        <v>174</v>
      </c>
      <c r="C33">
        <v>1000</v>
      </c>
      <c r="D33" t="s">
        <v>111</v>
      </c>
      <c r="E33">
        <v>37.5</v>
      </c>
      <c r="F33">
        <v>12.5</v>
      </c>
      <c r="G33">
        <v>50</v>
      </c>
      <c r="J33">
        <f t="shared" si="0"/>
        <v>8.625</v>
      </c>
      <c r="K33">
        <f t="shared" si="1"/>
        <v>-0.97431475286934943</v>
      </c>
      <c r="L33">
        <v>30557.133849999998</v>
      </c>
      <c r="M33">
        <v>1</v>
      </c>
      <c r="R33">
        <v>28838.75001</v>
      </c>
      <c r="S33">
        <v>296979.48379999999</v>
      </c>
      <c r="AI33">
        <v>0</v>
      </c>
      <c r="AJ33">
        <v>0.62492145560000001</v>
      </c>
      <c r="AK33">
        <v>-0.7806876291</v>
      </c>
      <c r="AL33">
        <v>-0.62492099609999996</v>
      </c>
      <c r="AM33">
        <v>0</v>
      </c>
      <c r="AN33">
        <v>-0.78068799700000002</v>
      </c>
    </row>
    <row r="34" spans="1:46" x14ac:dyDescent="0.25">
      <c r="A34" t="s">
        <v>175</v>
      </c>
      <c r="B34" t="s">
        <v>176</v>
      </c>
      <c r="C34">
        <v>1000</v>
      </c>
      <c r="D34" t="s">
        <v>111</v>
      </c>
      <c r="E34">
        <v>25</v>
      </c>
      <c r="F34">
        <v>25</v>
      </c>
      <c r="G34">
        <v>50</v>
      </c>
      <c r="J34">
        <f t="shared" si="0"/>
        <v>8.25</v>
      </c>
      <c r="K34">
        <f t="shared" si="1"/>
        <v>-1.0397207708399179</v>
      </c>
      <c r="L34">
        <v>31388.948219999998</v>
      </c>
      <c r="M34">
        <v>1</v>
      </c>
      <c r="R34">
        <v>31295.213459999999</v>
      </c>
      <c r="S34">
        <v>211473.9615</v>
      </c>
      <c r="AI34">
        <v>0</v>
      </c>
      <c r="AJ34">
        <v>0.53985771569999996</v>
      </c>
      <c r="AK34">
        <v>-0.84175628700000005</v>
      </c>
      <c r="AL34">
        <v>-0.53985730379999997</v>
      </c>
      <c r="AM34">
        <v>0</v>
      </c>
      <c r="AN34">
        <v>-0.84175655120000004</v>
      </c>
    </row>
    <row r="35" spans="1:46" x14ac:dyDescent="0.25">
      <c r="A35" t="s">
        <v>177</v>
      </c>
      <c r="B35" t="s">
        <v>178</v>
      </c>
      <c r="C35">
        <v>1000</v>
      </c>
      <c r="D35" t="s">
        <v>111</v>
      </c>
      <c r="E35">
        <v>12.5</v>
      </c>
      <c r="F35">
        <v>37.5</v>
      </c>
      <c r="G35">
        <v>50</v>
      </c>
      <c r="J35">
        <f t="shared" si="0"/>
        <v>7.875</v>
      </c>
      <c r="K35">
        <f t="shared" si="1"/>
        <v>-0.97431475286934943</v>
      </c>
      <c r="L35">
        <v>33243.22378</v>
      </c>
      <c r="M35">
        <v>1</v>
      </c>
      <c r="R35">
        <v>36700.57991</v>
      </c>
      <c r="S35">
        <v>207568.3786</v>
      </c>
      <c r="AI35">
        <v>0</v>
      </c>
      <c r="AJ35">
        <v>0.38736285040000001</v>
      </c>
      <c r="AK35">
        <v>-0.92192734099999996</v>
      </c>
      <c r="AL35">
        <v>-0.38736163169999999</v>
      </c>
      <c r="AM35">
        <v>0</v>
      </c>
      <c r="AN35">
        <v>-0.92192785310000003</v>
      </c>
    </row>
    <row r="36" spans="1:46" x14ac:dyDescent="0.25">
      <c r="A36" t="s">
        <v>179</v>
      </c>
      <c r="B36" t="s">
        <v>180</v>
      </c>
      <c r="C36">
        <v>1000</v>
      </c>
      <c r="D36" t="s">
        <v>111</v>
      </c>
      <c r="F36">
        <v>50</v>
      </c>
      <c r="G36">
        <v>50</v>
      </c>
      <c r="J36">
        <f t="shared" si="0"/>
        <v>7.5</v>
      </c>
      <c r="K36">
        <f t="shared" si="1"/>
        <v>-0.69314718055994529</v>
      </c>
      <c r="L36">
        <v>35664.56407</v>
      </c>
      <c r="M36">
        <v>1</v>
      </c>
      <c r="R36">
        <v>48053.754419999997</v>
      </c>
      <c r="AI36">
        <v>0</v>
      </c>
      <c r="AK36">
        <v>1</v>
      </c>
    </row>
    <row r="37" spans="1:46" x14ac:dyDescent="0.25">
      <c r="A37" t="s">
        <v>181</v>
      </c>
      <c r="B37" t="s">
        <v>182</v>
      </c>
      <c r="C37">
        <v>1000</v>
      </c>
      <c r="D37" t="s">
        <v>111</v>
      </c>
      <c r="E37">
        <v>37.5</v>
      </c>
      <c r="G37">
        <v>62.5</v>
      </c>
      <c r="J37">
        <f t="shared" si="0"/>
        <v>8.75</v>
      </c>
      <c r="K37">
        <f t="shared" si="1"/>
        <v>-0.66156323815798213</v>
      </c>
      <c r="L37">
        <v>32835.213490000002</v>
      </c>
      <c r="M37">
        <v>1</v>
      </c>
      <c r="R37">
        <v>50826.629249999998</v>
      </c>
      <c r="AJ37">
        <v>1</v>
      </c>
      <c r="AK37">
        <v>0</v>
      </c>
    </row>
    <row r="38" spans="1:46" x14ac:dyDescent="0.25">
      <c r="A38" t="s">
        <v>183</v>
      </c>
      <c r="B38" t="s">
        <v>184</v>
      </c>
      <c r="C38">
        <v>1000</v>
      </c>
      <c r="D38" t="s">
        <v>111</v>
      </c>
      <c r="E38">
        <v>25</v>
      </c>
      <c r="F38">
        <v>12.5</v>
      </c>
      <c r="G38">
        <v>62.5</v>
      </c>
      <c r="J38">
        <f t="shared" si="0"/>
        <v>8.375</v>
      </c>
      <c r="K38">
        <f t="shared" si="1"/>
        <v>-0.90025605126853692</v>
      </c>
      <c r="L38">
        <v>32703.55314</v>
      </c>
      <c r="M38">
        <v>1</v>
      </c>
      <c r="R38">
        <v>26693.046119999999</v>
      </c>
      <c r="S38">
        <v>303506.32909999997</v>
      </c>
      <c r="AI38">
        <v>0</v>
      </c>
      <c r="AJ38">
        <v>0.58728460289999995</v>
      </c>
      <c r="AK38">
        <v>-0.80938050090000002</v>
      </c>
      <c r="AL38">
        <v>-0.58728473839999995</v>
      </c>
      <c r="AM38">
        <v>0</v>
      </c>
      <c r="AN38">
        <v>-0.80938040259999999</v>
      </c>
    </row>
    <row r="39" spans="1:46" x14ac:dyDescent="0.25">
      <c r="A39" t="s">
        <v>185</v>
      </c>
      <c r="B39" t="s">
        <v>186</v>
      </c>
      <c r="C39">
        <v>1000</v>
      </c>
      <c r="D39" t="s">
        <v>111</v>
      </c>
      <c r="E39">
        <v>12.5</v>
      </c>
      <c r="F39">
        <v>25</v>
      </c>
      <c r="G39">
        <v>62.5</v>
      </c>
      <c r="J39">
        <f t="shared" si="0"/>
        <v>8</v>
      </c>
      <c r="K39">
        <f t="shared" si="1"/>
        <v>-0.90025605126853692</v>
      </c>
      <c r="L39">
        <v>33820.982559999997</v>
      </c>
      <c r="M39">
        <v>1</v>
      </c>
      <c r="R39">
        <v>32646.07719</v>
      </c>
      <c r="S39">
        <v>242772.3315</v>
      </c>
      <c r="AI39">
        <v>0</v>
      </c>
      <c r="AJ39">
        <v>0.43570618999999999</v>
      </c>
      <c r="AK39">
        <v>-0.90008894890000002</v>
      </c>
      <c r="AL39">
        <v>-0.43570630960000001</v>
      </c>
      <c r="AM39">
        <v>0</v>
      </c>
      <c r="AN39">
        <v>-0.900088891</v>
      </c>
    </row>
    <row r="40" spans="1:46" x14ac:dyDescent="0.25">
      <c r="A40" t="s">
        <v>187</v>
      </c>
      <c r="B40" t="s">
        <v>188</v>
      </c>
      <c r="C40">
        <v>1000</v>
      </c>
      <c r="D40" t="s">
        <v>111</v>
      </c>
      <c r="F40">
        <v>37.5</v>
      </c>
      <c r="G40">
        <v>62.5</v>
      </c>
      <c r="J40">
        <f t="shared" si="0"/>
        <v>7.625</v>
      </c>
      <c r="K40">
        <f t="shared" si="1"/>
        <v>-0.66156323815798213</v>
      </c>
      <c r="L40">
        <v>35774.556129999997</v>
      </c>
      <c r="M40">
        <v>1</v>
      </c>
      <c r="R40">
        <v>51258.025629999996</v>
      </c>
      <c r="AI40">
        <v>0</v>
      </c>
      <c r="AK40">
        <v>1</v>
      </c>
    </row>
    <row r="41" spans="1:46" x14ac:dyDescent="0.25">
      <c r="A41" t="s">
        <v>189</v>
      </c>
      <c r="B41" t="s">
        <v>190</v>
      </c>
      <c r="C41">
        <v>1000</v>
      </c>
      <c r="D41" t="s">
        <v>111</v>
      </c>
      <c r="E41">
        <v>25</v>
      </c>
      <c r="G41">
        <v>75</v>
      </c>
      <c r="J41">
        <f t="shared" si="0"/>
        <v>8.5</v>
      </c>
      <c r="K41">
        <f t="shared" si="1"/>
        <v>-0.56233514461880829</v>
      </c>
      <c r="L41">
        <v>34656.518080000002</v>
      </c>
      <c r="M41">
        <v>1</v>
      </c>
      <c r="R41">
        <v>56296.844089999999</v>
      </c>
      <c r="AJ41">
        <v>1</v>
      </c>
      <c r="AK41">
        <v>0</v>
      </c>
    </row>
    <row r="42" spans="1:46" x14ac:dyDescent="0.25">
      <c r="A42" t="s">
        <v>191</v>
      </c>
      <c r="B42" t="s">
        <v>192</v>
      </c>
      <c r="C42">
        <v>1000</v>
      </c>
      <c r="D42" t="s">
        <v>111</v>
      </c>
      <c r="E42">
        <v>12.5</v>
      </c>
      <c r="F42">
        <v>12.5</v>
      </c>
      <c r="G42">
        <v>75</v>
      </c>
      <c r="J42">
        <f t="shared" si="0"/>
        <v>8.125</v>
      </c>
      <c r="K42">
        <f t="shared" si="1"/>
        <v>-0.73562193975879464</v>
      </c>
      <c r="L42">
        <v>34842.593059999999</v>
      </c>
      <c r="M42">
        <v>1</v>
      </c>
      <c r="R42">
        <v>32940.750890000003</v>
      </c>
      <c r="S42">
        <v>331603.7978</v>
      </c>
      <c r="AI42">
        <v>0</v>
      </c>
      <c r="AJ42">
        <v>0.51573856969999998</v>
      </c>
      <c r="AK42">
        <v>-0.85674601120000005</v>
      </c>
      <c r="AL42">
        <v>-0.51573873609999998</v>
      </c>
      <c r="AM42">
        <v>0</v>
      </c>
      <c r="AN42">
        <v>-0.85674591099999997</v>
      </c>
    </row>
    <row r="43" spans="1:46" x14ac:dyDescent="0.25">
      <c r="A43" t="s">
        <v>193</v>
      </c>
      <c r="B43" t="s">
        <v>194</v>
      </c>
      <c r="C43">
        <v>1000</v>
      </c>
      <c r="D43" t="s">
        <v>111</v>
      </c>
      <c r="F43">
        <v>25</v>
      </c>
      <c r="G43">
        <v>75</v>
      </c>
      <c r="J43">
        <f t="shared" si="0"/>
        <v>7.75</v>
      </c>
      <c r="K43">
        <f t="shared" si="1"/>
        <v>-0.56233514461880829</v>
      </c>
      <c r="L43">
        <v>36134.626980000001</v>
      </c>
      <c r="M43">
        <v>1</v>
      </c>
      <c r="R43">
        <v>62897.322500000002</v>
      </c>
      <c r="AI43">
        <v>0</v>
      </c>
      <c r="AK43">
        <v>1</v>
      </c>
    </row>
    <row r="44" spans="1:46" x14ac:dyDescent="0.25">
      <c r="A44" t="s">
        <v>195</v>
      </c>
      <c r="B44" t="s">
        <v>196</v>
      </c>
      <c r="C44">
        <v>1000</v>
      </c>
      <c r="D44" t="s">
        <v>111</v>
      </c>
      <c r="E44">
        <v>12.5</v>
      </c>
      <c r="G44">
        <v>87.5</v>
      </c>
      <c r="J44">
        <f t="shared" si="0"/>
        <v>8.25</v>
      </c>
      <c r="K44">
        <f t="shared" si="1"/>
        <v>-0.37677016125643675</v>
      </c>
      <c r="L44">
        <v>36313.313540000003</v>
      </c>
      <c r="M44">
        <v>1</v>
      </c>
      <c r="R44">
        <v>91628.036030000003</v>
      </c>
      <c r="AJ44">
        <v>1</v>
      </c>
      <c r="AK44">
        <v>0</v>
      </c>
    </row>
    <row r="45" spans="1:46" x14ac:dyDescent="0.25">
      <c r="A45" t="s">
        <v>197</v>
      </c>
      <c r="B45" t="s">
        <v>198</v>
      </c>
      <c r="C45">
        <v>1000</v>
      </c>
      <c r="D45" t="s">
        <v>199</v>
      </c>
      <c r="F45">
        <v>12.5</v>
      </c>
      <c r="G45">
        <v>87.5</v>
      </c>
      <c r="J45">
        <f t="shared" si="0"/>
        <v>7.875</v>
      </c>
      <c r="K45">
        <f t="shared" si="1"/>
        <v>-0.37677016125643675</v>
      </c>
      <c r="L45">
        <v>37199.394679999998</v>
      </c>
      <c r="O45">
        <v>1</v>
      </c>
      <c r="U45">
        <v>115702.55560000001</v>
      </c>
      <c r="AQ45">
        <v>1</v>
      </c>
      <c r="AR45">
        <v>0</v>
      </c>
    </row>
    <row r="46" spans="1:46" x14ac:dyDescent="0.25">
      <c r="A46" t="s">
        <v>200</v>
      </c>
      <c r="B46" t="s">
        <v>201</v>
      </c>
      <c r="C46">
        <v>1000</v>
      </c>
      <c r="D46" t="s">
        <v>111</v>
      </c>
      <c r="G46">
        <v>100</v>
      </c>
      <c r="J46">
        <f t="shared" si="0"/>
        <v>8</v>
      </c>
      <c r="K46">
        <f t="shared" si="1"/>
        <v>0</v>
      </c>
      <c r="L46">
        <v>37619.992960000003</v>
      </c>
      <c r="M46">
        <v>1</v>
      </c>
    </row>
    <row r="47" spans="1:46" x14ac:dyDescent="0.25">
      <c r="A47" t="s">
        <v>202</v>
      </c>
      <c r="B47" t="s">
        <v>203</v>
      </c>
      <c r="C47">
        <v>1000</v>
      </c>
      <c r="D47" t="s">
        <v>111</v>
      </c>
      <c r="E47">
        <v>87.5</v>
      </c>
      <c r="H47">
        <v>12.5</v>
      </c>
      <c r="J47">
        <f t="shared" si="0"/>
        <v>9.5</v>
      </c>
      <c r="K47">
        <f t="shared" si="1"/>
        <v>-0.37677016125643675</v>
      </c>
      <c r="L47">
        <v>29604.81639</v>
      </c>
      <c r="M47">
        <v>1</v>
      </c>
      <c r="R47">
        <v>170505.37270000001</v>
      </c>
      <c r="AJ47">
        <v>1</v>
      </c>
      <c r="AS47">
        <v>0</v>
      </c>
    </row>
    <row r="48" spans="1:46" x14ac:dyDescent="0.25">
      <c r="A48" t="s">
        <v>204</v>
      </c>
      <c r="B48" t="s">
        <v>205</v>
      </c>
      <c r="C48">
        <v>1000</v>
      </c>
      <c r="D48" t="s">
        <v>111</v>
      </c>
      <c r="E48">
        <v>75</v>
      </c>
      <c r="F48">
        <v>12.5</v>
      </c>
      <c r="H48">
        <v>12.5</v>
      </c>
      <c r="J48">
        <f t="shared" si="0"/>
        <v>9.125</v>
      </c>
      <c r="K48">
        <f t="shared" si="1"/>
        <v>-0.73562193975879464</v>
      </c>
      <c r="L48">
        <v>27569.910479999999</v>
      </c>
      <c r="M48">
        <v>1</v>
      </c>
      <c r="R48">
        <v>76774.842109999998</v>
      </c>
      <c r="S48">
        <v>195653.7402</v>
      </c>
      <c r="AI48">
        <v>-0.79079918579999997</v>
      </c>
      <c r="AJ48">
        <v>0.61207568800000001</v>
      </c>
      <c r="AM48">
        <v>-0.61207568629999998</v>
      </c>
      <c r="AN48">
        <v>-0.79079918699999996</v>
      </c>
      <c r="AS48">
        <v>0</v>
      </c>
      <c r="AT48">
        <v>0</v>
      </c>
    </row>
    <row r="49" spans="1:73" x14ac:dyDescent="0.25">
      <c r="A49" t="s">
        <v>206</v>
      </c>
      <c r="B49" t="s">
        <v>207</v>
      </c>
      <c r="C49">
        <v>1000</v>
      </c>
      <c r="D49" t="s">
        <v>111</v>
      </c>
      <c r="E49">
        <v>62.5</v>
      </c>
      <c r="F49">
        <v>25</v>
      </c>
      <c r="H49">
        <v>12.5</v>
      </c>
      <c r="J49">
        <f t="shared" si="0"/>
        <v>8.75</v>
      </c>
      <c r="K49">
        <f t="shared" si="1"/>
        <v>-0.90025605126853692</v>
      </c>
      <c r="L49">
        <v>27237.68489</v>
      </c>
      <c r="M49">
        <v>1</v>
      </c>
      <c r="R49">
        <v>51292.879549999998</v>
      </c>
      <c r="S49">
        <v>167136.8596</v>
      </c>
      <c r="AI49">
        <v>-0.8374341931</v>
      </c>
      <c r="AJ49">
        <v>0.54653817090000001</v>
      </c>
      <c r="AM49">
        <v>-0.54653816850000003</v>
      </c>
      <c r="AN49">
        <v>-0.83743419460000001</v>
      </c>
      <c r="AS49">
        <v>0</v>
      </c>
      <c r="AT49">
        <v>0</v>
      </c>
    </row>
    <row r="50" spans="1:73" x14ac:dyDescent="0.25">
      <c r="A50" t="s">
        <v>208</v>
      </c>
      <c r="B50" t="s">
        <v>209</v>
      </c>
      <c r="C50">
        <v>1000</v>
      </c>
      <c r="D50" t="s">
        <v>210</v>
      </c>
      <c r="E50">
        <v>50</v>
      </c>
      <c r="F50">
        <v>37.5</v>
      </c>
      <c r="H50">
        <v>12.5</v>
      </c>
      <c r="J50">
        <f t="shared" si="0"/>
        <v>8.375</v>
      </c>
      <c r="K50">
        <f t="shared" si="1"/>
        <v>-0.97431475286934943</v>
      </c>
      <c r="L50">
        <v>26009.361099999998</v>
      </c>
      <c r="M50">
        <v>6.0475847899999997E-2</v>
      </c>
      <c r="O50">
        <v>0.93952415209999995</v>
      </c>
      <c r="R50">
        <v>48919.173990000003</v>
      </c>
      <c r="S50">
        <v>270504.55129999999</v>
      </c>
      <c r="U50">
        <v>88453.082880000002</v>
      </c>
      <c r="V50">
        <v>199102.79949999999</v>
      </c>
      <c r="AI50">
        <v>-0.77747005229999999</v>
      </c>
      <c r="AJ50">
        <v>0.62891996130000005</v>
      </c>
      <c r="AM50">
        <v>-0.62891996049999999</v>
      </c>
      <c r="AN50">
        <v>-0.77747005300000005</v>
      </c>
      <c r="AR50">
        <v>-0.8142707763</v>
      </c>
      <c r="AS50">
        <v>0</v>
      </c>
      <c r="AT50">
        <v>0</v>
      </c>
      <c r="AU50">
        <v>0</v>
      </c>
      <c r="AV50">
        <v>0.5804852305</v>
      </c>
      <c r="AW50">
        <v>0</v>
      </c>
      <c r="AX50">
        <v>-0.58048520790000002</v>
      </c>
      <c r="AY50">
        <v>-0.8142707924</v>
      </c>
    </row>
    <row r="51" spans="1:73" x14ac:dyDescent="0.25">
      <c r="A51" t="s">
        <v>211</v>
      </c>
      <c r="B51" t="s">
        <v>212</v>
      </c>
      <c r="C51">
        <v>1000</v>
      </c>
      <c r="D51" t="s">
        <v>210</v>
      </c>
      <c r="E51">
        <v>37.5</v>
      </c>
      <c r="F51">
        <v>50</v>
      </c>
      <c r="H51">
        <v>12.5</v>
      </c>
      <c r="J51">
        <f t="shared" si="0"/>
        <v>8</v>
      </c>
      <c r="K51">
        <f t="shared" si="1"/>
        <v>-0.97431475286934943</v>
      </c>
      <c r="L51">
        <v>28746.476350000001</v>
      </c>
      <c r="M51">
        <v>0.50625750970000005</v>
      </c>
      <c r="O51">
        <v>0.4937424903</v>
      </c>
      <c r="R51">
        <v>46327.267749999999</v>
      </c>
      <c r="S51">
        <v>225071.44510000001</v>
      </c>
      <c r="U51">
        <v>112627.62669999999</v>
      </c>
      <c r="V51">
        <v>127452.95540000001</v>
      </c>
      <c r="AI51">
        <v>-0.74902451140000004</v>
      </c>
      <c r="AJ51">
        <v>0.66254228640000001</v>
      </c>
      <c r="AM51">
        <v>-0.66254036500000002</v>
      </c>
      <c r="AN51">
        <v>-0.74902621089999999</v>
      </c>
      <c r="AR51">
        <v>-0.30161314909999998</v>
      </c>
      <c r="AS51">
        <v>0</v>
      </c>
      <c r="AT51">
        <v>0</v>
      </c>
      <c r="AU51">
        <v>0</v>
      </c>
      <c r="AV51">
        <v>0.95343038989999995</v>
      </c>
      <c r="AW51">
        <v>0</v>
      </c>
      <c r="AX51">
        <v>0.9534303489</v>
      </c>
      <c r="AY51">
        <v>0.30161327840000002</v>
      </c>
    </row>
    <row r="52" spans="1:73" x14ac:dyDescent="0.25">
      <c r="A52" t="s">
        <v>213</v>
      </c>
      <c r="B52" t="s">
        <v>214</v>
      </c>
      <c r="C52">
        <v>1000</v>
      </c>
      <c r="D52" t="s">
        <v>215</v>
      </c>
      <c r="E52">
        <v>25</v>
      </c>
      <c r="F52">
        <v>62.5</v>
      </c>
      <c r="H52">
        <v>12.5</v>
      </c>
      <c r="J52">
        <f t="shared" si="0"/>
        <v>7.625</v>
      </c>
      <c r="K52">
        <f t="shared" si="1"/>
        <v>-0.90025605126853692</v>
      </c>
      <c r="L52">
        <v>31897.132290000001</v>
      </c>
      <c r="M52">
        <v>0.88764807560000003</v>
      </c>
      <c r="P52">
        <v>0.1123519244</v>
      </c>
      <c r="R52">
        <v>47786.174339999998</v>
      </c>
      <c r="S52">
        <v>168067.4676</v>
      </c>
      <c r="W52">
        <v>47295.372430000003</v>
      </c>
      <c r="X52">
        <v>279281.79729999998</v>
      </c>
      <c r="AI52">
        <v>-0.74498294789999997</v>
      </c>
      <c r="AJ52">
        <v>0.66708350859999999</v>
      </c>
      <c r="AM52">
        <v>-0.66708190879999996</v>
      </c>
      <c r="AN52">
        <v>-0.74498438040000003</v>
      </c>
      <c r="AS52">
        <v>0</v>
      </c>
      <c r="AT52">
        <v>0</v>
      </c>
      <c r="AZ52">
        <v>0</v>
      </c>
      <c r="BA52">
        <v>-0.91344517449999996</v>
      </c>
      <c r="BB52">
        <v>0.40696180790000003</v>
      </c>
      <c r="BC52">
        <v>0</v>
      </c>
      <c r="BD52">
        <v>-0.4069618015</v>
      </c>
      <c r="BE52">
        <v>-0.91344517739999997</v>
      </c>
    </row>
    <row r="53" spans="1:73" x14ac:dyDescent="0.25">
      <c r="A53" t="s">
        <v>216</v>
      </c>
      <c r="B53" t="s">
        <v>217</v>
      </c>
      <c r="C53">
        <v>1000</v>
      </c>
      <c r="D53" t="s">
        <v>218</v>
      </c>
      <c r="E53">
        <v>12.5</v>
      </c>
      <c r="F53">
        <v>75</v>
      </c>
      <c r="H53">
        <v>12.5</v>
      </c>
      <c r="J53">
        <f t="shared" si="0"/>
        <v>7.25</v>
      </c>
      <c r="K53">
        <f t="shared" si="1"/>
        <v>-0.73562193975879464</v>
      </c>
      <c r="L53">
        <v>32933.997089999997</v>
      </c>
      <c r="M53">
        <v>0.24862134990000001</v>
      </c>
      <c r="N53">
        <v>0.55362021360000002</v>
      </c>
      <c r="P53">
        <v>0.1977584365</v>
      </c>
      <c r="R53">
        <v>56895.218330000003</v>
      </c>
      <c r="S53">
        <v>225013.87210000001</v>
      </c>
      <c r="T53">
        <v>71847.475210000004</v>
      </c>
      <c r="W53">
        <v>60506.787320000003</v>
      </c>
      <c r="X53">
        <v>399070.80160000001</v>
      </c>
      <c r="Y53">
        <v>226357.38860000001</v>
      </c>
      <c r="AI53">
        <v>-0.74112351799999998</v>
      </c>
      <c r="AJ53">
        <v>0.67136869980000002</v>
      </c>
      <c r="AM53">
        <v>-0.67136933610000005</v>
      </c>
      <c r="AN53">
        <v>-0.74112294160000003</v>
      </c>
      <c r="AP53">
        <v>-0.74295476729999999</v>
      </c>
      <c r="AS53">
        <v>0</v>
      </c>
      <c r="AT53">
        <v>0</v>
      </c>
      <c r="AZ53">
        <v>0</v>
      </c>
      <c r="BA53">
        <v>-0.92108081799999997</v>
      </c>
      <c r="BB53">
        <v>0.38937145090000003</v>
      </c>
      <c r="BC53">
        <v>0</v>
      </c>
      <c r="BD53">
        <v>-0.38937144769999998</v>
      </c>
      <c r="BE53">
        <v>-0.92108081929999996</v>
      </c>
      <c r="BF53">
        <v>0</v>
      </c>
      <c r="BG53">
        <v>0.6693416271</v>
      </c>
      <c r="BH53">
        <v>0</v>
      </c>
      <c r="BI53">
        <v>-0.66934192540000004</v>
      </c>
      <c r="BJ53">
        <v>-0.74295449859999996</v>
      </c>
    </row>
    <row r="54" spans="1:73" x14ac:dyDescent="0.25">
      <c r="A54" t="s">
        <v>219</v>
      </c>
      <c r="B54" t="s">
        <v>220</v>
      </c>
      <c r="C54">
        <v>1000</v>
      </c>
      <c r="D54" t="s">
        <v>221</v>
      </c>
      <c r="F54">
        <v>87.5</v>
      </c>
      <c r="H54">
        <v>12.5</v>
      </c>
      <c r="J54">
        <f t="shared" si="0"/>
        <v>6.875</v>
      </c>
      <c r="K54">
        <f t="shared" si="1"/>
        <v>-0.37677016125643675</v>
      </c>
      <c r="L54">
        <v>33857.247499999998</v>
      </c>
      <c r="N54">
        <v>0.55427808369999998</v>
      </c>
      <c r="P54">
        <v>0.44572191630000002</v>
      </c>
      <c r="T54">
        <v>158152.6495</v>
      </c>
      <c r="W54">
        <v>257531.3285</v>
      </c>
      <c r="AP54">
        <v>1</v>
      </c>
      <c r="AZ54">
        <v>0</v>
      </c>
      <c r="BA54">
        <v>1</v>
      </c>
      <c r="BF54">
        <v>0</v>
      </c>
    </row>
    <row r="55" spans="1:73" x14ac:dyDescent="0.25">
      <c r="A55" t="s">
        <v>222</v>
      </c>
      <c r="B55" t="s">
        <v>223</v>
      </c>
      <c r="C55">
        <v>1000</v>
      </c>
      <c r="D55" t="s">
        <v>111</v>
      </c>
      <c r="E55">
        <v>75</v>
      </c>
      <c r="G55">
        <v>12.5</v>
      </c>
      <c r="H55">
        <v>12.5</v>
      </c>
      <c r="J55">
        <f t="shared" si="0"/>
        <v>9.25</v>
      </c>
      <c r="K55">
        <f t="shared" si="1"/>
        <v>-0.73562193975879464</v>
      </c>
      <c r="L55">
        <v>29951.592820000002</v>
      </c>
      <c r="M55">
        <v>1</v>
      </c>
      <c r="R55">
        <v>64409.331919999997</v>
      </c>
      <c r="S55">
        <v>288266.24290000001</v>
      </c>
      <c r="AJ55">
        <v>0.74954163740000002</v>
      </c>
      <c r="AK55">
        <v>-0.66195719929999997</v>
      </c>
      <c r="AL55">
        <v>0.74954179629999995</v>
      </c>
      <c r="AN55">
        <v>0.66195701949999997</v>
      </c>
      <c r="AS55">
        <v>0</v>
      </c>
      <c r="AT55">
        <v>0</v>
      </c>
    </row>
    <row r="56" spans="1:73" x14ac:dyDescent="0.25">
      <c r="A56" t="s">
        <v>224</v>
      </c>
      <c r="B56" t="s">
        <v>225</v>
      </c>
      <c r="C56">
        <v>1000</v>
      </c>
      <c r="D56" t="s">
        <v>111</v>
      </c>
      <c r="E56">
        <v>62.5</v>
      </c>
      <c r="F56">
        <v>12.5</v>
      </c>
      <c r="G56">
        <v>12.5</v>
      </c>
      <c r="H56">
        <v>12.5</v>
      </c>
      <c r="J56">
        <f t="shared" si="0"/>
        <v>8.875</v>
      </c>
      <c r="K56">
        <f t="shared" si="1"/>
        <v>-1.0735428464085233</v>
      </c>
      <c r="L56">
        <v>28588.73403</v>
      </c>
      <c r="M56">
        <v>1</v>
      </c>
      <c r="R56">
        <v>60839.443729999999</v>
      </c>
      <c r="S56">
        <v>99590.381169999993</v>
      </c>
      <c r="Z56">
        <v>305589.3554</v>
      </c>
      <c r="AI56">
        <v>-0.25317109180000003</v>
      </c>
      <c r="AJ56">
        <v>0.81124617269999999</v>
      </c>
      <c r="AK56">
        <v>-0.52705222279999997</v>
      </c>
      <c r="AL56">
        <v>0.48659554719999998</v>
      </c>
      <c r="AM56">
        <v>-0.87252674880000003</v>
      </c>
      <c r="AN56">
        <v>4.3838864620000001E-2</v>
      </c>
      <c r="AS56">
        <v>0</v>
      </c>
      <c r="AT56">
        <v>0</v>
      </c>
      <c r="BK56">
        <v>0</v>
      </c>
      <c r="BL56">
        <v>-0.69673556859999997</v>
      </c>
      <c r="BM56">
        <v>-0.41785456310000002</v>
      </c>
      <c r="BN56">
        <v>-0.58305841179999995</v>
      </c>
    </row>
    <row r="57" spans="1:73" x14ac:dyDescent="0.25">
      <c r="A57" t="s">
        <v>226</v>
      </c>
      <c r="B57" t="s">
        <v>227</v>
      </c>
      <c r="C57">
        <v>1000</v>
      </c>
      <c r="D57" t="s">
        <v>111</v>
      </c>
      <c r="E57">
        <v>50</v>
      </c>
      <c r="F57">
        <v>25</v>
      </c>
      <c r="G57">
        <v>12.5</v>
      </c>
      <c r="H57">
        <v>12.5</v>
      </c>
      <c r="J57">
        <f t="shared" si="0"/>
        <v>8.5</v>
      </c>
      <c r="K57">
        <f t="shared" si="1"/>
        <v>-1.2130075659799042</v>
      </c>
      <c r="L57">
        <v>28734.470089999999</v>
      </c>
      <c r="M57">
        <v>1</v>
      </c>
      <c r="R57">
        <v>55722.889629999998</v>
      </c>
      <c r="S57">
        <v>69974.905660000004</v>
      </c>
      <c r="Z57">
        <v>286323.07689999999</v>
      </c>
      <c r="AI57">
        <v>0.65909777719999996</v>
      </c>
      <c r="AJ57">
        <v>-0.72866054869999997</v>
      </c>
      <c r="AK57">
        <v>0.1861287854</v>
      </c>
      <c r="AL57">
        <v>0.64850802090000004</v>
      </c>
      <c r="AM57">
        <v>-0.63953842500000002</v>
      </c>
      <c r="AN57">
        <v>-0.41282920159999997</v>
      </c>
      <c r="AS57">
        <v>0</v>
      </c>
      <c r="AT57">
        <v>0</v>
      </c>
      <c r="BK57">
        <v>0</v>
      </c>
      <c r="BL57">
        <v>0.73810122990000004</v>
      </c>
      <c r="BM57">
        <v>0.3957028105</v>
      </c>
      <c r="BN57">
        <v>0.54646670539999997</v>
      </c>
    </row>
    <row r="58" spans="1:73" x14ac:dyDescent="0.25">
      <c r="A58" t="s">
        <v>228</v>
      </c>
      <c r="B58" t="s">
        <v>229</v>
      </c>
      <c r="C58">
        <v>1000</v>
      </c>
      <c r="D58" t="s">
        <v>111</v>
      </c>
      <c r="E58">
        <v>37.5</v>
      </c>
      <c r="F58">
        <v>37.5</v>
      </c>
      <c r="G58">
        <v>12.5</v>
      </c>
      <c r="H58">
        <v>12.5</v>
      </c>
      <c r="J58">
        <f t="shared" si="0"/>
        <v>8.125</v>
      </c>
      <c r="K58">
        <f t="shared" si="1"/>
        <v>-1.2554823251787537</v>
      </c>
      <c r="L58">
        <v>29938.27693</v>
      </c>
      <c r="M58">
        <v>1</v>
      </c>
      <c r="R58">
        <v>50577.050029999999</v>
      </c>
      <c r="S58">
        <v>64701.207029999998</v>
      </c>
      <c r="Z58">
        <v>273875.1422</v>
      </c>
      <c r="AI58">
        <v>-0.85753666620000002</v>
      </c>
      <c r="AJ58">
        <v>0.4929912991</v>
      </c>
      <c r="AK58">
        <v>0.14693687450000001</v>
      </c>
      <c r="AL58">
        <v>0.63030438550000001</v>
      </c>
      <c r="AM58">
        <v>-0.30293500810000001</v>
      </c>
      <c r="AN58">
        <v>-0.71480540179999996</v>
      </c>
      <c r="AS58">
        <v>0</v>
      </c>
      <c r="AT58">
        <v>0</v>
      </c>
      <c r="BK58">
        <v>0</v>
      </c>
      <c r="BL58">
        <v>0.76231616540000002</v>
      </c>
      <c r="BM58">
        <v>0.41576584750000001</v>
      </c>
      <c r="BN58">
        <v>0.49599679829999999</v>
      </c>
    </row>
    <row r="59" spans="1:73" x14ac:dyDescent="0.25">
      <c r="A59" t="s">
        <v>230</v>
      </c>
      <c r="B59" t="s">
        <v>231</v>
      </c>
      <c r="C59">
        <v>1000</v>
      </c>
      <c r="D59" t="s">
        <v>111</v>
      </c>
      <c r="E59">
        <v>25</v>
      </c>
      <c r="F59">
        <v>50</v>
      </c>
      <c r="G59">
        <v>12.5</v>
      </c>
      <c r="H59">
        <v>12.5</v>
      </c>
      <c r="J59">
        <f t="shared" si="0"/>
        <v>7.75</v>
      </c>
      <c r="K59">
        <f t="shared" si="1"/>
        <v>-1.2130075659799042</v>
      </c>
      <c r="L59">
        <v>31749.21573</v>
      </c>
      <c r="M59">
        <v>1</v>
      </c>
      <c r="R59">
        <v>47117.318749999999</v>
      </c>
      <c r="S59">
        <v>67480.781589999999</v>
      </c>
      <c r="Z59">
        <v>265887.57370000001</v>
      </c>
      <c r="AI59">
        <v>-0.89352215800000001</v>
      </c>
      <c r="AJ59">
        <v>0.285440796</v>
      </c>
      <c r="AK59">
        <v>0.346614635</v>
      </c>
      <c r="AL59">
        <v>-0.52628542199999995</v>
      </c>
      <c r="AM59">
        <v>6.6644546250000006E-2</v>
      </c>
      <c r="AN59">
        <v>0.8476922549</v>
      </c>
      <c r="AS59">
        <v>0</v>
      </c>
      <c r="AT59">
        <v>0</v>
      </c>
      <c r="BK59">
        <v>0</v>
      </c>
      <c r="BL59">
        <v>-0.77645564560000002</v>
      </c>
      <c r="BM59">
        <v>-0.4440441571</v>
      </c>
      <c r="BN59">
        <v>-0.44714809290000002</v>
      </c>
    </row>
    <row r="60" spans="1:73" x14ac:dyDescent="0.25">
      <c r="A60" t="s">
        <v>232</v>
      </c>
      <c r="B60" t="s">
        <v>233</v>
      </c>
      <c r="C60">
        <v>1000</v>
      </c>
      <c r="D60" t="s">
        <v>215</v>
      </c>
      <c r="E60">
        <v>12.5</v>
      </c>
      <c r="F60">
        <v>62.5</v>
      </c>
      <c r="G60">
        <v>12.5</v>
      </c>
      <c r="H60">
        <v>12.5</v>
      </c>
      <c r="J60">
        <f t="shared" si="0"/>
        <v>7.375</v>
      </c>
      <c r="K60">
        <f t="shared" si="1"/>
        <v>-1.0735428464085233</v>
      </c>
      <c r="L60">
        <v>33619.943229999997</v>
      </c>
      <c r="M60">
        <v>0.84908416539999998</v>
      </c>
      <c r="P60">
        <v>0.15091583459999999</v>
      </c>
      <c r="R60">
        <v>45121.327089999999</v>
      </c>
      <c r="S60">
        <v>89471.1973</v>
      </c>
      <c r="W60">
        <v>48473.141779999998</v>
      </c>
      <c r="X60">
        <v>135371.1875</v>
      </c>
      <c r="Z60">
        <v>319858.91249999998</v>
      </c>
      <c r="AA60">
        <v>517043.43310000002</v>
      </c>
      <c r="AI60">
        <v>-0.8633456437</v>
      </c>
      <c r="AJ60">
        <v>0.14857259910000001</v>
      </c>
      <c r="AK60">
        <v>0.4822452512</v>
      </c>
      <c r="AL60">
        <v>-0.48034550679999999</v>
      </c>
      <c r="AM60">
        <v>-0.11876527720000001</v>
      </c>
      <c r="AN60">
        <v>0.86900115249999998</v>
      </c>
      <c r="AS60">
        <v>0</v>
      </c>
      <c r="AT60">
        <v>0</v>
      </c>
      <c r="AZ60">
        <v>0</v>
      </c>
      <c r="BA60">
        <v>-0.90281972960000001</v>
      </c>
      <c r="BB60">
        <v>0.10722623470000001</v>
      </c>
      <c r="BC60">
        <v>0</v>
      </c>
      <c r="BD60">
        <v>-0.28995712709999999</v>
      </c>
      <c r="BE60">
        <v>0.56334580820000002</v>
      </c>
      <c r="BK60">
        <v>0</v>
      </c>
      <c r="BL60">
        <v>-0.73260330350000002</v>
      </c>
      <c r="BM60">
        <v>-0.49043728450000001</v>
      </c>
      <c r="BN60">
        <v>-0.47197846319999998</v>
      </c>
      <c r="BO60">
        <v>0.416436154</v>
      </c>
      <c r="BP60">
        <v>-0.77367070829999995</v>
      </c>
      <c r="BQ60">
        <v>0</v>
      </c>
      <c r="BR60">
        <v>0.47750869959999998</v>
      </c>
      <c r="BS60">
        <v>0.31755535709999999</v>
      </c>
      <c r="BT60">
        <v>0.81923381100000003</v>
      </c>
    </row>
    <row r="61" spans="1:73" x14ac:dyDescent="0.25">
      <c r="A61" t="s">
        <v>234</v>
      </c>
      <c r="B61" t="s">
        <v>235</v>
      </c>
      <c r="C61">
        <v>1000</v>
      </c>
      <c r="D61" t="s">
        <v>221</v>
      </c>
      <c r="F61">
        <v>75</v>
      </c>
      <c r="G61">
        <v>12.5</v>
      </c>
      <c r="H61">
        <v>12.5</v>
      </c>
      <c r="J61">
        <f t="shared" si="0"/>
        <v>7</v>
      </c>
      <c r="K61">
        <f t="shared" si="1"/>
        <v>-0.73562193975879464</v>
      </c>
      <c r="L61">
        <v>34315.442219999997</v>
      </c>
      <c r="N61">
        <v>0.47027347609999998</v>
      </c>
      <c r="P61">
        <v>0.52972652389999997</v>
      </c>
      <c r="T61">
        <v>53790.534200000002</v>
      </c>
      <c r="W61">
        <v>51358.259030000001</v>
      </c>
      <c r="X61">
        <v>555265.24549999996</v>
      </c>
      <c r="Y61">
        <v>375915.16899999999</v>
      </c>
      <c r="AO61">
        <v>0.65166320470000005</v>
      </c>
      <c r="AP61">
        <v>-0.75850844930000005</v>
      </c>
      <c r="AZ61">
        <v>0</v>
      </c>
      <c r="BA61">
        <v>-0.76785517650000001</v>
      </c>
      <c r="BC61">
        <v>0</v>
      </c>
      <c r="BD61">
        <v>-0.64062346830000005</v>
      </c>
      <c r="BF61">
        <v>0</v>
      </c>
      <c r="BH61">
        <v>0</v>
      </c>
      <c r="BI61">
        <v>-0.6516631785</v>
      </c>
      <c r="BO61">
        <v>0.64062346820000005</v>
      </c>
      <c r="BP61">
        <v>-0.76785517640000001</v>
      </c>
      <c r="BU61">
        <v>-0.75850847180000003</v>
      </c>
    </row>
    <row r="62" spans="1:73" x14ac:dyDescent="0.25">
      <c r="A62" t="s">
        <v>236</v>
      </c>
      <c r="B62" t="s">
        <v>237</v>
      </c>
      <c r="C62">
        <v>1000</v>
      </c>
      <c r="D62" t="s">
        <v>111</v>
      </c>
      <c r="E62">
        <v>62.5</v>
      </c>
      <c r="G62">
        <v>25</v>
      </c>
      <c r="H62">
        <v>12.5</v>
      </c>
      <c r="J62">
        <f t="shared" si="0"/>
        <v>9</v>
      </c>
      <c r="K62">
        <f t="shared" si="1"/>
        <v>-0.90025605126853692</v>
      </c>
      <c r="L62">
        <v>31037.683140000001</v>
      </c>
      <c r="M62">
        <v>1</v>
      </c>
      <c r="R62">
        <v>40339.723660000003</v>
      </c>
      <c r="S62">
        <v>264960.08600000001</v>
      </c>
      <c r="AJ62">
        <v>0.69931850200000001</v>
      </c>
      <c r="AK62">
        <v>-0.71481020750000002</v>
      </c>
      <c r="AL62">
        <v>-0.6993184013</v>
      </c>
      <c r="AN62">
        <v>-0.71481030609999996</v>
      </c>
      <c r="AS62">
        <v>0</v>
      </c>
      <c r="AT62">
        <v>0</v>
      </c>
    </row>
    <row r="63" spans="1:73" x14ac:dyDescent="0.25">
      <c r="A63" t="s">
        <v>238</v>
      </c>
      <c r="B63" t="s">
        <v>239</v>
      </c>
      <c r="C63">
        <v>1000</v>
      </c>
      <c r="D63" t="s">
        <v>111</v>
      </c>
      <c r="E63">
        <v>50</v>
      </c>
      <c r="F63">
        <v>12.5</v>
      </c>
      <c r="G63">
        <v>25</v>
      </c>
      <c r="H63">
        <v>12.5</v>
      </c>
      <c r="J63">
        <f t="shared" si="0"/>
        <v>8.625</v>
      </c>
      <c r="K63">
        <f t="shared" si="1"/>
        <v>-1.2130075659799042</v>
      </c>
      <c r="L63">
        <v>30205.362249999998</v>
      </c>
      <c r="M63">
        <v>1</v>
      </c>
      <c r="R63">
        <v>42017.577519999999</v>
      </c>
      <c r="S63">
        <v>93751.752559999994</v>
      </c>
      <c r="Z63">
        <v>297419.00400000002</v>
      </c>
      <c r="AI63">
        <v>4.400604373E-2</v>
      </c>
      <c r="AJ63">
        <v>0.71169404349999998</v>
      </c>
      <c r="AK63">
        <v>-0.70110987479999998</v>
      </c>
      <c r="AL63">
        <v>-0.33076515140000001</v>
      </c>
      <c r="AM63">
        <v>0.86414191240000005</v>
      </c>
      <c r="AN63">
        <v>-0.37927980420000001</v>
      </c>
      <c r="AS63">
        <v>0</v>
      </c>
      <c r="AT63">
        <v>0</v>
      </c>
      <c r="BK63">
        <v>0</v>
      </c>
      <c r="BL63">
        <v>0.63169581919999995</v>
      </c>
      <c r="BM63">
        <v>0.5013212869</v>
      </c>
      <c r="BN63">
        <v>0.59130141150000004</v>
      </c>
    </row>
    <row r="64" spans="1:73" x14ac:dyDescent="0.25">
      <c r="A64" t="s">
        <v>240</v>
      </c>
      <c r="B64" t="s">
        <v>241</v>
      </c>
      <c r="C64">
        <v>1000</v>
      </c>
      <c r="D64" t="s">
        <v>111</v>
      </c>
      <c r="E64">
        <v>37.5</v>
      </c>
      <c r="F64">
        <v>25</v>
      </c>
      <c r="G64">
        <v>25</v>
      </c>
      <c r="H64">
        <v>12.5</v>
      </c>
      <c r="J64">
        <f t="shared" si="0"/>
        <v>8.25</v>
      </c>
      <c r="K64">
        <f t="shared" si="1"/>
        <v>-1.3208883431493221</v>
      </c>
      <c r="L64">
        <v>30690.551749999999</v>
      </c>
      <c r="M64">
        <v>1</v>
      </c>
      <c r="R64">
        <v>42658.196360000002</v>
      </c>
      <c r="S64">
        <v>62791.775119999998</v>
      </c>
      <c r="Z64">
        <v>276788.67910000001</v>
      </c>
      <c r="AI64">
        <v>0.30087514450000002</v>
      </c>
      <c r="AJ64">
        <v>0.61127258870000001</v>
      </c>
      <c r="AK64">
        <v>-0.73199724710000003</v>
      </c>
      <c r="AL64">
        <v>-0.11968031780000001</v>
      </c>
      <c r="AM64">
        <v>0.82646906689999999</v>
      </c>
      <c r="AN64">
        <v>-0.55011408179999999</v>
      </c>
      <c r="AS64">
        <v>0</v>
      </c>
      <c r="AT64">
        <v>0</v>
      </c>
      <c r="BK64">
        <v>0</v>
      </c>
      <c r="BL64">
        <v>0.67071354090000002</v>
      </c>
      <c r="BM64">
        <v>0.47583928920000002</v>
      </c>
      <c r="BN64">
        <v>0.5689642493</v>
      </c>
    </row>
    <row r="65" spans="1:68" x14ac:dyDescent="0.25">
      <c r="A65" t="s">
        <v>242</v>
      </c>
      <c r="B65" t="s">
        <v>243</v>
      </c>
      <c r="C65">
        <v>1000</v>
      </c>
      <c r="D65" t="s">
        <v>111</v>
      </c>
      <c r="E65">
        <v>25</v>
      </c>
      <c r="F65">
        <v>37.5</v>
      </c>
      <c r="G65">
        <v>25</v>
      </c>
      <c r="H65">
        <v>12.5</v>
      </c>
      <c r="J65">
        <f t="shared" si="0"/>
        <v>7.875</v>
      </c>
      <c r="K65">
        <f t="shared" si="1"/>
        <v>-1.3208883431493221</v>
      </c>
      <c r="L65">
        <v>32044.239280000002</v>
      </c>
      <c r="M65">
        <v>1</v>
      </c>
      <c r="R65">
        <v>39530.360820000002</v>
      </c>
      <c r="S65">
        <v>61264.378429999997</v>
      </c>
      <c r="Z65">
        <v>265855.93300000002</v>
      </c>
      <c r="AI65">
        <v>-0.64825384050000001</v>
      </c>
      <c r="AJ65">
        <v>-0.2997714098</v>
      </c>
      <c r="AK65">
        <v>0.69993146819999996</v>
      </c>
      <c r="AL65">
        <v>0.196994908</v>
      </c>
      <c r="AM65">
        <v>0.57867090610000005</v>
      </c>
      <c r="AN65">
        <v>-0.79141202209999995</v>
      </c>
      <c r="AS65">
        <v>0</v>
      </c>
      <c r="AT65">
        <v>0</v>
      </c>
      <c r="BK65">
        <v>0</v>
      </c>
      <c r="BL65">
        <v>0.68650487689999995</v>
      </c>
      <c r="BM65">
        <v>0.49488073529999999</v>
      </c>
      <c r="BN65">
        <v>0.53273268330000001</v>
      </c>
    </row>
    <row r="66" spans="1:68" x14ac:dyDescent="0.25">
      <c r="A66" t="s">
        <v>244</v>
      </c>
      <c r="B66" t="s">
        <v>245</v>
      </c>
      <c r="C66">
        <v>1000</v>
      </c>
      <c r="D66" t="s">
        <v>111</v>
      </c>
      <c r="E66">
        <v>12.5</v>
      </c>
      <c r="F66">
        <v>50</v>
      </c>
      <c r="G66">
        <v>25</v>
      </c>
      <c r="H66">
        <v>12.5</v>
      </c>
      <c r="J66">
        <f t="shared" si="0"/>
        <v>7.5</v>
      </c>
      <c r="K66">
        <f t="shared" si="1"/>
        <v>-1.2130075659799042</v>
      </c>
      <c r="L66">
        <v>33815.714970000001</v>
      </c>
      <c r="M66">
        <v>1</v>
      </c>
      <c r="R66">
        <v>34700.3606</v>
      </c>
      <c r="S66">
        <v>86555.402189999993</v>
      </c>
      <c r="Z66">
        <v>265178.15110000002</v>
      </c>
      <c r="AI66">
        <v>0.76006956209999998</v>
      </c>
      <c r="AJ66">
        <v>9.0843812910000002E-2</v>
      </c>
      <c r="AK66">
        <v>-0.64346069220000002</v>
      </c>
      <c r="AL66">
        <v>-0.36541250359999999</v>
      </c>
      <c r="AM66">
        <v>-0.40927533220000001</v>
      </c>
      <c r="AN66">
        <v>0.836042705</v>
      </c>
      <c r="AS66">
        <v>0</v>
      </c>
      <c r="AT66">
        <v>0</v>
      </c>
      <c r="BK66">
        <v>0</v>
      </c>
      <c r="BL66">
        <v>0.67263102730000002</v>
      </c>
      <c r="BM66">
        <v>0.50476443930000003</v>
      </c>
      <c r="BN66">
        <v>0.54109182389999999</v>
      </c>
    </row>
    <row r="67" spans="1:68" x14ac:dyDescent="0.25">
      <c r="A67" t="s">
        <v>246</v>
      </c>
      <c r="B67" t="s">
        <v>247</v>
      </c>
      <c r="C67">
        <v>1000</v>
      </c>
      <c r="D67" t="s">
        <v>215</v>
      </c>
      <c r="F67">
        <v>62.5</v>
      </c>
      <c r="G67">
        <v>25</v>
      </c>
      <c r="H67">
        <v>12.5</v>
      </c>
      <c r="J67">
        <f t="shared" ref="J67:J130" si="2">((10*E67)/100)+((7*F67)/100)+((8*G67)/100)+((6*H67)/100)+((9*I67)/100)</f>
        <v>7.125</v>
      </c>
      <c r="K67">
        <f t="shared" ref="K67:K130" si="3">IF(ISBLANK(E67)=TRUE,0,(E67/100)*LN(E67/100))+IF(ISBLANK(F67)=TRUE,0,(F67/100)*LN(F67/100))+IF(ISBLANK(G67)=TRUE,0,(G67/100)*LN(G67/100))+IF(ISBLANK(H67)=TRUE,0,(H67/100)*LN(H67/100))+IF(ISBLANK(I67)=TRUE,0,(I67/100)*LN(I67/100))</f>
        <v>-0.90025605126853692</v>
      </c>
      <c r="L67">
        <v>35362.894209999999</v>
      </c>
      <c r="M67">
        <v>0.54831046530000005</v>
      </c>
      <c r="P67">
        <v>0.45168953470000001</v>
      </c>
      <c r="R67">
        <v>28610.71153</v>
      </c>
      <c r="S67">
        <v>318527.29369999998</v>
      </c>
      <c r="W67">
        <v>36237.585400000004</v>
      </c>
      <c r="X67">
        <v>488433.01089999999</v>
      </c>
      <c r="AI67">
        <v>-0.75455326590000005</v>
      </c>
      <c r="AK67">
        <v>0.65623880479999996</v>
      </c>
      <c r="AL67">
        <v>-0.75455321289999999</v>
      </c>
      <c r="AM67">
        <v>-0.65623886570000001</v>
      </c>
      <c r="AS67">
        <v>0</v>
      </c>
      <c r="AT67">
        <v>0</v>
      </c>
      <c r="AZ67">
        <v>0</v>
      </c>
      <c r="BA67">
        <v>-0.74368627700000001</v>
      </c>
      <c r="BC67">
        <v>0</v>
      </c>
      <c r="BD67">
        <v>-0.66852877399999999</v>
      </c>
      <c r="BO67">
        <v>0.66852877369999997</v>
      </c>
      <c r="BP67">
        <v>-0.7436862769</v>
      </c>
    </row>
    <row r="68" spans="1:68" x14ac:dyDescent="0.25">
      <c r="A68" t="s">
        <v>248</v>
      </c>
      <c r="B68" t="s">
        <v>249</v>
      </c>
      <c r="C68">
        <v>1000</v>
      </c>
      <c r="D68" t="s">
        <v>111</v>
      </c>
      <c r="E68">
        <v>50</v>
      </c>
      <c r="G68">
        <v>37.5</v>
      </c>
      <c r="H68">
        <v>12.5</v>
      </c>
      <c r="J68">
        <f t="shared" si="2"/>
        <v>8.75</v>
      </c>
      <c r="K68">
        <f t="shared" si="3"/>
        <v>-0.97431475286934943</v>
      </c>
      <c r="L68">
        <v>32570.32906</v>
      </c>
      <c r="M68">
        <v>1</v>
      </c>
      <c r="R68">
        <v>30703.348529999999</v>
      </c>
      <c r="S68">
        <v>258587.4</v>
      </c>
      <c r="AJ68">
        <v>0.69076831579999998</v>
      </c>
      <c r="AK68">
        <v>-0.72307616050000001</v>
      </c>
      <c r="AL68">
        <v>-0.69076651320000004</v>
      </c>
      <c r="AN68">
        <v>-0.72307788260000005</v>
      </c>
      <c r="AS68">
        <v>0</v>
      </c>
      <c r="AT68">
        <v>0</v>
      </c>
    </row>
    <row r="69" spans="1:68" x14ac:dyDescent="0.25">
      <c r="A69" t="s">
        <v>250</v>
      </c>
      <c r="B69" t="s">
        <v>251</v>
      </c>
      <c r="C69">
        <v>1000</v>
      </c>
      <c r="D69" t="s">
        <v>111</v>
      </c>
      <c r="E69">
        <v>37.5</v>
      </c>
      <c r="F69">
        <v>12.5</v>
      </c>
      <c r="G69">
        <v>37.5</v>
      </c>
      <c r="H69">
        <v>12.5</v>
      </c>
      <c r="J69">
        <f t="shared" si="2"/>
        <v>8.375</v>
      </c>
      <c r="K69">
        <f t="shared" si="3"/>
        <v>-1.2554823251787535</v>
      </c>
      <c r="L69">
        <v>32134.54118</v>
      </c>
      <c r="M69">
        <v>1</v>
      </c>
      <c r="R69">
        <v>32538.439689999999</v>
      </c>
      <c r="S69">
        <v>94900.379130000001</v>
      </c>
      <c r="Z69">
        <v>304422.71950000001</v>
      </c>
      <c r="AI69">
        <v>0.1519293457</v>
      </c>
      <c r="AJ69">
        <v>0.65148627640000001</v>
      </c>
      <c r="AK69">
        <v>-0.74329207279999998</v>
      </c>
      <c r="AL69">
        <v>-0.27107592330000002</v>
      </c>
      <c r="AM69">
        <v>0.82192854019999995</v>
      </c>
      <c r="AN69">
        <v>-0.50095041529999995</v>
      </c>
      <c r="AS69">
        <v>0</v>
      </c>
      <c r="AT69">
        <v>0</v>
      </c>
      <c r="BK69">
        <v>0</v>
      </c>
      <c r="BL69">
        <v>0.61158161119999999</v>
      </c>
      <c r="BM69">
        <v>0.54895655499999996</v>
      </c>
      <c r="BN69">
        <v>0.56974962350000002</v>
      </c>
    </row>
    <row r="70" spans="1:68" x14ac:dyDescent="0.25">
      <c r="A70" t="s">
        <v>252</v>
      </c>
      <c r="B70" t="s">
        <v>253</v>
      </c>
      <c r="C70">
        <v>1000</v>
      </c>
      <c r="D70" t="s">
        <v>111</v>
      </c>
      <c r="E70">
        <v>25</v>
      </c>
      <c r="F70">
        <v>25</v>
      </c>
      <c r="G70">
        <v>37.5</v>
      </c>
      <c r="H70">
        <v>12.5</v>
      </c>
      <c r="J70">
        <f t="shared" si="2"/>
        <v>8</v>
      </c>
      <c r="K70">
        <f t="shared" si="3"/>
        <v>-1.3208883431493221</v>
      </c>
      <c r="L70">
        <v>32829.159480000002</v>
      </c>
      <c r="M70">
        <v>1</v>
      </c>
      <c r="R70">
        <v>32667.655699999999</v>
      </c>
      <c r="S70">
        <v>70287.891000000003</v>
      </c>
      <c r="Z70">
        <v>285235.12599999999</v>
      </c>
      <c r="AI70">
        <v>0.42517583250000002</v>
      </c>
      <c r="AJ70">
        <v>0.4847899691</v>
      </c>
      <c r="AK70">
        <v>-0.76433251749999997</v>
      </c>
      <c r="AL70">
        <v>-1.2194592820000001E-2</v>
      </c>
      <c r="AM70">
        <v>0.74215280500000003</v>
      </c>
      <c r="AN70">
        <v>-0.67011976979999999</v>
      </c>
      <c r="AS70">
        <v>0</v>
      </c>
      <c r="AT70">
        <v>0</v>
      </c>
      <c r="BK70">
        <v>0</v>
      </c>
      <c r="BL70">
        <v>0.64470461430000003</v>
      </c>
      <c r="BM70">
        <v>0.5181073679</v>
      </c>
      <c r="BN70">
        <v>0.56206824820000001</v>
      </c>
    </row>
    <row r="71" spans="1:68" x14ac:dyDescent="0.25">
      <c r="A71" t="s">
        <v>254</v>
      </c>
      <c r="B71" t="s">
        <v>255</v>
      </c>
      <c r="C71">
        <v>1000</v>
      </c>
      <c r="D71" t="s">
        <v>111</v>
      </c>
      <c r="E71">
        <v>12.5</v>
      </c>
      <c r="F71">
        <v>37.5</v>
      </c>
      <c r="G71">
        <v>37.5</v>
      </c>
      <c r="H71">
        <v>12.5</v>
      </c>
      <c r="J71">
        <f t="shared" si="2"/>
        <v>7.625</v>
      </c>
      <c r="K71">
        <f t="shared" si="3"/>
        <v>-1.2554823251787535</v>
      </c>
      <c r="L71">
        <v>34205.620159999999</v>
      </c>
      <c r="M71">
        <v>1</v>
      </c>
      <c r="R71">
        <v>30631.089459999999</v>
      </c>
      <c r="S71">
        <v>87278.352060000005</v>
      </c>
      <c r="Z71">
        <v>283132.71899999998</v>
      </c>
      <c r="AI71">
        <v>-0.66014255820000001</v>
      </c>
      <c r="AJ71">
        <v>-0.2071017275</v>
      </c>
      <c r="AK71">
        <v>0.72202539939999999</v>
      </c>
      <c r="AL71">
        <v>0.27598570639999997</v>
      </c>
      <c r="AM71">
        <v>0.54929461239999999</v>
      </c>
      <c r="AN71">
        <v>-0.78873780100000002</v>
      </c>
      <c r="AS71">
        <v>0</v>
      </c>
      <c r="AT71">
        <v>0</v>
      </c>
      <c r="BK71">
        <v>0</v>
      </c>
      <c r="BL71">
        <v>-0.63443695109999998</v>
      </c>
      <c r="BM71">
        <v>-0.51233220560000003</v>
      </c>
      <c r="BN71">
        <v>-0.57879656729999995</v>
      </c>
    </row>
    <row r="72" spans="1:68" x14ac:dyDescent="0.25">
      <c r="A72" t="s">
        <v>256</v>
      </c>
      <c r="B72" t="s">
        <v>257</v>
      </c>
      <c r="C72">
        <v>1000</v>
      </c>
      <c r="D72" t="s">
        <v>215</v>
      </c>
      <c r="F72">
        <v>50</v>
      </c>
      <c r="G72">
        <v>37.5</v>
      </c>
      <c r="H72">
        <v>12.5</v>
      </c>
      <c r="J72">
        <f t="shared" si="2"/>
        <v>7.25</v>
      </c>
      <c r="K72">
        <f t="shared" si="3"/>
        <v>-0.97431475286934943</v>
      </c>
      <c r="L72">
        <v>35687.420899999997</v>
      </c>
      <c r="M72">
        <v>0.75773619520000002</v>
      </c>
      <c r="P72">
        <v>0.24226380480000001</v>
      </c>
      <c r="R72">
        <v>26182.332129999999</v>
      </c>
      <c r="S72">
        <v>262188.74</v>
      </c>
      <c r="W72">
        <v>32007.654829999999</v>
      </c>
      <c r="X72">
        <v>366429.28539999999</v>
      </c>
      <c r="AI72">
        <v>-0.73970465490000004</v>
      </c>
      <c r="AK72">
        <v>0.67293166329999998</v>
      </c>
      <c r="AL72">
        <v>-0.73970400999999997</v>
      </c>
      <c r="AM72">
        <v>-0.67293237220000002</v>
      </c>
      <c r="AS72">
        <v>0</v>
      </c>
      <c r="AT72">
        <v>0</v>
      </c>
      <c r="AZ72">
        <v>0</v>
      </c>
      <c r="BA72">
        <v>-0.73753415870000005</v>
      </c>
      <c r="BC72">
        <v>0</v>
      </c>
      <c r="BD72">
        <v>-0.67530982920000004</v>
      </c>
      <c r="BO72">
        <v>0.67530982880000001</v>
      </c>
      <c r="BP72">
        <v>-0.73753415830000002</v>
      </c>
    </row>
    <row r="73" spans="1:68" x14ac:dyDescent="0.25">
      <c r="A73" t="s">
        <v>258</v>
      </c>
      <c r="B73" t="s">
        <v>259</v>
      </c>
      <c r="C73">
        <v>1000</v>
      </c>
      <c r="D73" t="s">
        <v>111</v>
      </c>
      <c r="E73">
        <v>37.5</v>
      </c>
      <c r="G73">
        <v>50</v>
      </c>
      <c r="H73">
        <v>12.5</v>
      </c>
      <c r="J73">
        <f t="shared" si="2"/>
        <v>8.5</v>
      </c>
      <c r="K73">
        <f t="shared" si="3"/>
        <v>-0.97431475286934943</v>
      </c>
      <c r="L73">
        <v>34273.035600000003</v>
      </c>
      <c r="M73">
        <v>1</v>
      </c>
      <c r="R73">
        <v>26596.884480000001</v>
      </c>
      <c r="S73">
        <v>257846.67240000001</v>
      </c>
      <c r="AJ73">
        <v>0.68864314910000002</v>
      </c>
      <c r="AK73">
        <v>-0.72510041599999997</v>
      </c>
      <c r="AL73">
        <v>-0.68864205769999998</v>
      </c>
      <c r="AN73">
        <v>-0.72510145240000001</v>
      </c>
      <c r="AS73">
        <v>0</v>
      </c>
      <c r="AT73">
        <v>0</v>
      </c>
    </row>
    <row r="74" spans="1:68" x14ac:dyDescent="0.25">
      <c r="A74" t="s">
        <v>260</v>
      </c>
      <c r="B74" t="s">
        <v>261</v>
      </c>
      <c r="C74">
        <v>1000</v>
      </c>
      <c r="D74" t="s">
        <v>111</v>
      </c>
      <c r="E74">
        <v>25</v>
      </c>
      <c r="F74">
        <v>12.5</v>
      </c>
      <c r="G74">
        <v>50</v>
      </c>
      <c r="H74">
        <v>12.5</v>
      </c>
      <c r="J74">
        <f t="shared" si="2"/>
        <v>8.125</v>
      </c>
      <c r="K74">
        <f t="shared" si="3"/>
        <v>-1.2130075659799042</v>
      </c>
      <c r="L74">
        <v>34108.027849999999</v>
      </c>
      <c r="M74">
        <v>1</v>
      </c>
      <c r="R74">
        <v>28718.133860000002</v>
      </c>
      <c r="S74">
        <v>99148.089179999995</v>
      </c>
      <c r="Z74">
        <v>317235.57390000002</v>
      </c>
      <c r="AI74">
        <v>0.23842501729999999</v>
      </c>
      <c r="AJ74">
        <v>0.58788869759999995</v>
      </c>
      <c r="AK74">
        <v>-0.77300736759999999</v>
      </c>
      <c r="AL74">
        <v>-0.2088710701</v>
      </c>
      <c r="AM74">
        <v>0.77937036319999997</v>
      </c>
      <c r="AN74">
        <v>-0.59072388899999995</v>
      </c>
      <c r="AS74">
        <v>0</v>
      </c>
      <c r="AT74">
        <v>0</v>
      </c>
      <c r="BK74">
        <v>0</v>
      </c>
      <c r="BL74">
        <v>0.59902519170000001</v>
      </c>
      <c r="BM74">
        <v>0.57942764449999995</v>
      </c>
      <c r="BN74">
        <v>0.55265941100000004</v>
      </c>
    </row>
    <row r="75" spans="1:68" x14ac:dyDescent="0.25">
      <c r="A75" t="s">
        <v>262</v>
      </c>
      <c r="B75" t="s">
        <v>263</v>
      </c>
      <c r="C75">
        <v>1000</v>
      </c>
      <c r="D75" t="s">
        <v>111</v>
      </c>
      <c r="E75">
        <v>12.5</v>
      </c>
      <c r="F75">
        <v>25</v>
      </c>
      <c r="G75">
        <v>50</v>
      </c>
      <c r="H75">
        <v>12.5</v>
      </c>
      <c r="J75">
        <f t="shared" si="2"/>
        <v>7.75</v>
      </c>
      <c r="K75">
        <f t="shared" si="3"/>
        <v>-1.2130075659799042</v>
      </c>
      <c r="L75">
        <v>34890.309820000002</v>
      </c>
      <c r="M75">
        <v>1</v>
      </c>
      <c r="R75">
        <v>29664.804049999999</v>
      </c>
      <c r="S75">
        <v>93583.157250000004</v>
      </c>
      <c r="Z75">
        <v>306617.3138</v>
      </c>
      <c r="AI75">
        <v>-0.54841583859999998</v>
      </c>
      <c r="AJ75">
        <v>-0.31203471589999998</v>
      </c>
      <c r="AK75">
        <v>0.77580564839999999</v>
      </c>
      <c r="AL75">
        <v>-0.16228254249999999</v>
      </c>
      <c r="AM75">
        <v>-0.65131926709999999</v>
      </c>
      <c r="AN75">
        <v>0.7412473195</v>
      </c>
      <c r="AS75">
        <v>0</v>
      </c>
      <c r="AT75">
        <v>0</v>
      </c>
      <c r="BK75">
        <v>0</v>
      </c>
      <c r="BL75">
        <v>0.60974497599999999</v>
      </c>
      <c r="BM75">
        <v>0.5244263911</v>
      </c>
      <c r="BN75">
        <v>0.59429624309999995</v>
      </c>
    </row>
    <row r="76" spans="1:68" x14ac:dyDescent="0.25">
      <c r="A76" t="s">
        <v>264</v>
      </c>
      <c r="B76" t="s">
        <v>265</v>
      </c>
      <c r="C76">
        <v>1000</v>
      </c>
      <c r="D76" t="s">
        <v>111</v>
      </c>
      <c r="F76">
        <v>37.5</v>
      </c>
      <c r="G76">
        <v>50</v>
      </c>
      <c r="H76">
        <v>12.5</v>
      </c>
      <c r="J76">
        <f t="shared" si="2"/>
        <v>7.375</v>
      </c>
      <c r="K76">
        <f t="shared" si="3"/>
        <v>-0.97431475286934943</v>
      </c>
      <c r="L76">
        <v>36167.902119999999</v>
      </c>
      <c r="M76">
        <v>1</v>
      </c>
      <c r="R76">
        <v>27568.198420000001</v>
      </c>
      <c r="S76">
        <v>231578.90210000001</v>
      </c>
      <c r="AI76">
        <v>-0.72024153040000005</v>
      </c>
      <c r="AK76">
        <v>0.69372338710000003</v>
      </c>
      <c r="AL76">
        <v>-0.72024065690000005</v>
      </c>
      <c r="AM76">
        <v>-0.69372429400000002</v>
      </c>
      <c r="AS76">
        <v>0</v>
      </c>
      <c r="AT76">
        <v>0</v>
      </c>
    </row>
    <row r="77" spans="1:68" x14ac:dyDescent="0.25">
      <c r="A77" t="s">
        <v>266</v>
      </c>
      <c r="B77" t="s">
        <v>267</v>
      </c>
      <c r="C77">
        <v>1000</v>
      </c>
      <c r="D77" t="s">
        <v>111</v>
      </c>
      <c r="E77">
        <v>25</v>
      </c>
      <c r="G77">
        <v>62.5</v>
      </c>
      <c r="H77">
        <v>12.5</v>
      </c>
      <c r="J77">
        <f t="shared" si="2"/>
        <v>8.25</v>
      </c>
      <c r="K77">
        <f t="shared" si="3"/>
        <v>-0.90025605126853692</v>
      </c>
      <c r="L77">
        <v>35884.91158</v>
      </c>
      <c r="M77">
        <v>1</v>
      </c>
      <c r="R77">
        <v>27839.43751</v>
      </c>
      <c r="S77">
        <v>261527.49960000001</v>
      </c>
      <c r="AJ77">
        <v>0.67971635740000003</v>
      </c>
      <c r="AK77">
        <v>-0.73347506669999996</v>
      </c>
      <c r="AL77">
        <v>-0.67971668510000005</v>
      </c>
      <c r="AN77">
        <v>-0.73347476310000004</v>
      </c>
      <c r="AS77">
        <v>0</v>
      </c>
      <c r="AT77">
        <v>0</v>
      </c>
    </row>
    <row r="78" spans="1:68" x14ac:dyDescent="0.25">
      <c r="A78" t="s">
        <v>268</v>
      </c>
      <c r="B78" t="s">
        <v>269</v>
      </c>
      <c r="C78">
        <v>1000</v>
      </c>
      <c r="D78" t="s">
        <v>111</v>
      </c>
      <c r="E78">
        <v>12.5</v>
      </c>
      <c r="F78">
        <v>12.5</v>
      </c>
      <c r="G78">
        <v>62.5</v>
      </c>
      <c r="H78">
        <v>12.5</v>
      </c>
      <c r="J78">
        <f t="shared" si="2"/>
        <v>7.875</v>
      </c>
      <c r="K78">
        <f t="shared" si="3"/>
        <v>-1.0735428464085233</v>
      </c>
      <c r="L78">
        <v>35874.561520000003</v>
      </c>
      <c r="M78">
        <v>1</v>
      </c>
      <c r="R78">
        <v>32472.449659999998</v>
      </c>
      <c r="S78">
        <v>117132.74</v>
      </c>
      <c r="Z78">
        <v>340234.03720000002</v>
      </c>
      <c r="AI78">
        <v>0.37054187960000001</v>
      </c>
      <c r="AJ78">
        <v>0.44356102139999998</v>
      </c>
      <c r="AK78">
        <v>-0.8160590271</v>
      </c>
      <c r="AL78">
        <v>-4.2595961660000001E-2</v>
      </c>
      <c r="AM78">
        <v>0.7268031425</v>
      </c>
      <c r="AN78">
        <v>-0.68552372390000005</v>
      </c>
      <c r="AS78">
        <v>0</v>
      </c>
      <c r="AT78">
        <v>0</v>
      </c>
      <c r="BK78">
        <v>0</v>
      </c>
      <c r="BL78">
        <v>-0.57639652600000002</v>
      </c>
      <c r="BM78">
        <v>-0.57832190939999994</v>
      </c>
      <c r="BN78">
        <v>-0.57733076650000004</v>
      </c>
    </row>
    <row r="79" spans="1:68" x14ac:dyDescent="0.25">
      <c r="A79" t="s">
        <v>270</v>
      </c>
      <c r="B79" t="s">
        <v>271</v>
      </c>
      <c r="C79">
        <v>1000</v>
      </c>
      <c r="D79" t="s">
        <v>111</v>
      </c>
      <c r="F79">
        <v>25</v>
      </c>
      <c r="G79">
        <v>62.5</v>
      </c>
      <c r="H79">
        <v>12.5</v>
      </c>
      <c r="J79">
        <f t="shared" si="2"/>
        <v>7.5</v>
      </c>
      <c r="K79">
        <f t="shared" si="3"/>
        <v>-0.90025605126853692</v>
      </c>
      <c r="L79">
        <v>36629.293870000001</v>
      </c>
      <c r="M79">
        <v>1</v>
      </c>
      <c r="R79">
        <v>32629.165929999999</v>
      </c>
      <c r="S79">
        <v>246083.03969999999</v>
      </c>
      <c r="AI79">
        <v>-0.68923574700000001</v>
      </c>
      <c r="AK79">
        <v>0.72453715230000004</v>
      </c>
      <c r="AL79">
        <v>0.6892355845</v>
      </c>
      <c r="AM79">
        <v>0.72453730689999996</v>
      </c>
      <c r="AS79">
        <v>0</v>
      </c>
      <c r="AT79">
        <v>0</v>
      </c>
    </row>
    <row r="80" spans="1:68" x14ac:dyDescent="0.25">
      <c r="A80" t="s">
        <v>272</v>
      </c>
      <c r="B80" t="s">
        <v>273</v>
      </c>
      <c r="C80">
        <v>1000</v>
      </c>
      <c r="D80" t="s">
        <v>111</v>
      </c>
      <c r="E80">
        <v>12.5</v>
      </c>
      <c r="G80">
        <v>75</v>
      </c>
      <c r="H80">
        <v>12.5</v>
      </c>
      <c r="J80">
        <f t="shared" si="2"/>
        <v>8</v>
      </c>
      <c r="K80">
        <f t="shared" si="3"/>
        <v>-0.73562193975879464</v>
      </c>
      <c r="L80">
        <v>37163.504209999999</v>
      </c>
      <c r="M80">
        <v>1</v>
      </c>
      <c r="R80">
        <v>42291.590889999999</v>
      </c>
      <c r="S80">
        <v>281706.11050000001</v>
      </c>
      <c r="AJ80">
        <v>0.62843693150000002</v>
      </c>
      <c r="AK80">
        <v>-0.7778605422</v>
      </c>
      <c r="AL80">
        <v>-0.62843680749999997</v>
      </c>
      <c r="AN80">
        <v>-0.77786064239999997</v>
      </c>
      <c r="AS80">
        <v>0</v>
      </c>
      <c r="AT80">
        <v>0</v>
      </c>
    </row>
    <row r="81" spans="1:85" x14ac:dyDescent="0.25">
      <c r="A81" t="s">
        <v>274</v>
      </c>
      <c r="B81" t="s">
        <v>275</v>
      </c>
      <c r="C81">
        <v>1000</v>
      </c>
      <c r="D81" t="s">
        <v>111</v>
      </c>
      <c r="F81">
        <v>12.5</v>
      </c>
      <c r="G81">
        <v>75</v>
      </c>
      <c r="H81">
        <v>12.5</v>
      </c>
      <c r="J81">
        <f t="shared" si="2"/>
        <v>7.625</v>
      </c>
      <c r="K81">
        <f t="shared" si="3"/>
        <v>-0.73562193975879464</v>
      </c>
      <c r="L81">
        <v>37199.434829999998</v>
      </c>
      <c r="M81">
        <v>1</v>
      </c>
      <c r="R81">
        <v>49262.73648</v>
      </c>
      <c r="S81">
        <v>278669.22879999998</v>
      </c>
      <c r="AI81">
        <v>-0.61513608190000002</v>
      </c>
      <c r="AK81">
        <v>0.78842095400000001</v>
      </c>
      <c r="AL81">
        <v>0.61513606679999999</v>
      </c>
      <c r="AM81">
        <v>0.78842096579999998</v>
      </c>
      <c r="AS81">
        <v>0</v>
      </c>
      <c r="AT81">
        <v>0</v>
      </c>
    </row>
    <row r="82" spans="1:85" x14ac:dyDescent="0.25">
      <c r="A82" t="s">
        <v>276</v>
      </c>
      <c r="B82" t="s">
        <v>277</v>
      </c>
      <c r="C82">
        <v>1000</v>
      </c>
      <c r="D82" t="s">
        <v>111</v>
      </c>
      <c r="G82">
        <v>87.5</v>
      </c>
      <c r="H82">
        <v>12.5</v>
      </c>
      <c r="J82">
        <f t="shared" si="2"/>
        <v>7.75</v>
      </c>
      <c r="K82">
        <f t="shared" si="3"/>
        <v>-0.37677016125643675</v>
      </c>
      <c r="L82">
        <v>37883.254300000001</v>
      </c>
      <c r="M82">
        <v>1</v>
      </c>
      <c r="R82">
        <v>138912.27040000001</v>
      </c>
      <c r="AK82">
        <v>1</v>
      </c>
      <c r="AS82">
        <v>0</v>
      </c>
    </row>
    <row r="83" spans="1:85" x14ac:dyDescent="0.25">
      <c r="A83" t="s">
        <v>278</v>
      </c>
      <c r="B83" t="s">
        <v>279</v>
      </c>
      <c r="C83">
        <v>1000</v>
      </c>
      <c r="D83" t="s">
        <v>111</v>
      </c>
      <c r="E83">
        <v>75</v>
      </c>
      <c r="H83">
        <v>25</v>
      </c>
      <c r="J83">
        <f t="shared" si="2"/>
        <v>9</v>
      </c>
      <c r="K83">
        <f t="shared" si="3"/>
        <v>-0.56233514461880829</v>
      </c>
      <c r="L83">
        <v>30485.913509999998</v>
      </c>
      <c r="M83">
        <v>1</v>
      </c>
      <c r="R83">
        <v>111180.1262</v>
      </c>
      <c r="AJ83">
        <v>1</v>
      </c>
      <c r="AS83">
        <v>0</v>
      </c>
    </row>
    <row r="84" spans="1:85" x14ac:dyDescent="0.25">
      <c r="A84" t="s">
        <v>280</v>
      </c>
      <c r="B84" t="s">
        <v>281</v>
      </c>
      <c r="C84">
        <v>1000</v>
      </c>
      <c r="D84" t="s">
        <v>111</v>
      </c>
      <c r="E84">
        <v>62.5</v>
      </c>
      <c r="F84">
        <v>12.5</v>
      </c>
      <c r="H84">
        <v>25</v>
      </c>
      <c r="J84">
        <f t="shared" si="2"/>
        <v>8.625</v>
      </c>
      <c r="K84">
        <f t="shared" si="3"/>
        <v>-0.90025605126853692</v>
      </c>
      <c r="L84">
        <v>29572.37329</v>
      </c>
      <c r="M84">
        <v>1</v>
      </c>
      <c r="R84">
        <v>71325.503129999997</v>
      </c>
      <c r="S84">
        <v>107161.7709</v>
      </c>
      <c r="AI84">
        <v>-0.77037794130000004</v>
      </c>
      <c r="AJ84">
        <v>0.63758750580000001</v>
      </c>
      <c r="AM84">
        <v>-0.63758749820000005</v>
      </c>
      <c r="AN84">
        <v>-0.7703779476</v>
      </c>
      <c r="AS84">
        <v>0</v>
      </c>
      <c r="AT84">
        <v>0</v>
      </c>
    </row>
    <row r="85" spans="1:85" x14ac:dyDescent="0.25">
      <c r="A85" t="s">
        <v>282</v>
      </c>
      <c r="B85" t="s">
        <v>283</v>
      </c>
      <c r="C85">
        <v>1000</v>
      </c>
      <c r="D85" t="s">
        <v>210</v>
      </c>
      <c r="E85">
        <v>50</v>
      </c>
      <c r="F85">
        <v>25</v>
      </c>
      <c r="H85">
        <v>25</v>
      </c>
      <c r="J85">
        <f t="shared" si="2"/>
        <v>8.25</v>
      </c>
      <c r="K85">
        <f t="shared" si="3"/>
        <v>-1.0397207708399179</v>
      </c>
      <c r="L85">
        <v>28399.948560000001</v>
      </c>
      <c r="M85">
        <v>0.13406714040000001</v>
      </c>
      <c r="O85">
        <v>0.86593285959999999</v>
      </c>
      <c r="R85">
        <v>52698.53875</v>
      </c>
      <c r="S85">
        <v>106872.5894</v>
      </c>
      <c r="U85">
        <v>81701.494300000006</v>
      </c>
      <c r="V85">
        <v>102581.7311</v>
      </c>
      <c r="AI85">
        <v>-0.88535464529999996</v>
      </c>
      <c r="AJ85">
        <v>0.46491628509999999</v>
      </c>
      <c r="AM85">
        <v>-0.4649162792</v>
      </c>
      <c r="AN85">
        <v>-0.8853546484</v>
      </c>
      <c r="AR85">
        <v>-0.81619195970000002</v>
      </c>
      <c r="AS85">
        <v>0</v>
      </c>
      <c r="AT85">
        <v>0</v>
      </c>
      <c r="AU85">
        <v>0</v>
      </c>
      <c r="AV85">
        <v>0.57778082779999995</v>
      </c>
      <c r="AW85">
        <v>0</v>
      </c>
      <c r="AX85">
        <v>-0.57778080700000001</v>
      </c>
      <c r="AY85">
        <v>-0.81619197440000002</v>
      </c>
    </row>
    <row r="86" spans="1:85" x14ac:dyDescent="0.25">
      <c r="A86" t="s">
        <v>284</v>
      </c>
      <c r="B86" t="s">
        <v>285</v>
      </c>
      <c r="C86">
        <v>1000</v>
      </c>
      <c r="D86" t="s">
        <v>199</v>
      </c>
      <c r="E86">
        <v>37.5</v>
      </c>
      <c r="F86">
        <v>37.5</v>
      </c>
      <c r="H86">
        <v>25</v>
      </c>
      <c r="J86">
        <f t="shared" si="2"/>
        <v>7.875</v>
      </c>
      <c r="K86">
        <f t="shared" si="3"/>
        <v>-1.0821955300387673</v>
      </c>
      <c r="L86">
        <v>28347.511040000001</v>
      </c>
      <c r="O86">
        <v>1</v>
      </c>
      <c r="U86">
        <v>87528.034050000002</v>
      </c>
      <c r="V86">
        <v>101557.0232</v>
      </c>
      <c r="AR86">
        <v>0.5455883372</v>
      </c>
      <c r="AU86">
        <v>0</v>
      </c>
      <c r="AV86">
        <v>0.83805331949999995</v>
      </c>
      <c r="AW86">
        <v>0</v>
      </c>
      <c r="AX86">
        <v>0.83805337849999995</v>
      </c>
      <c r="AY86">
        <v>-0.54558824660000005</v>
      </c>
    </row>
    <row r="87" spans="1:85" x14ac:dyDescent="0.25">
      <c r="A87" t="s">
        <v>286</v>
      </c>
      <c r="B87" t="s">
        <v>287</v>
      </c>
      <c r="C87">
        <v>1000</v>
      </c>
      <c r="D87" t="s">
        <v>288</v>
      </c>
      <c r="E87">
        <v>25</v>
      </c>
      <c r="F87">
        <v>50</v>
      </c>
      <c r="H87">
        <v>25</v>
      </c>
      <c r="J87">
        <f t="shared" si="2"/>
        <v>7.5</v>
      </c>
      <c r="K87">
        <f t="shared" si="3"/>
        <v>-1.0397207708399179</v>
      </c>
      <c r="L87">
        <v>31443.514650000001</v>
      </c>
      <c r="M87">
        <v>0.28421464349999997</v>
      </c>
      <c r="O87">
        <v>0.2886018118</v>
      </c>
      <c r="P87">
        <v>0.42718354469999997</v>
      </c>
      <c r="R87">
        <v>46052.380210000003</v>
      </c>
      <c r="S87">
        <v>151290.73079999999</v>
      </c>
      <c r="U87">
        <v>81761.659920000006</v>
      </c>
      <c r="V87">
        <v>114814.3904</v>
      </c>
      <c r="W87">
        <v>48644.66534</v>
      </c>
      <c r="X87">
        <v>266962.27480000001</v>
      </c>
      <c r="AI87">
        <v>-0.75853715840000002</v>
      </c>
      <c r="AJ87">
        <v>0.65162978699999996</v>
      </c>
      <c r="AM87">
        <v>-0.65162753179999999</v>
      </c>
      <c r="AN87">
        <v>-0.7585390957</v>
      </c>
      <c r="AR87">
        <v>0.2190039356</v>
      </c>
      <c r="AS87">
        <v>0</v>
      </c>
      <c r="AT87">
        <v>0</v>
      </c>
      <c r="AU87">
        <v>0</v>
      </c>
      <c r="AV87">
        <v>0.9757239754</v>
      </c>
      <c r="AW87">
        <v>0</v>
      </c>
      <c r="AX87">
        <v>0.97572396900000002</v>
      </c>
      <c r="AY87">
        <v>-0.2190039641</v>
      </c>
      <c r="AZ87">
        <v>0</v>
      </c>
      <c r="BA87">
        <v>-0.91789779029999996</v>
      </c>
      <c r="BB87">
        <v>0.396816893</v>
      </c>
      <c r="BC87">
        <v>0</v>
      </c>
      <c r="BD87">
        <v>-0.39681688469999998</v>
      </c>
      <c r="BE87">
        <v>-0.91789779390000004</v>
      </c>
    </row>
    <row r="88" spans="1:85" x14ac:dyDescent="0.25">
      <c r="A88" t="s">
        <v>289</v>
      </c>
      <c r="B88" t="s">
        <v>290</v>
      </c>
      <c r="C88">
        <v>1000</v>
      </c>
      <c r="D88" t="s">
        <v>291</v>
      </c>
      <c r="E88">
        <v>12.5</v>
      </c>
      <c r="F88">
        <v>62.5</v>
      </c>
      <c r="H88">
        <v>25</v>
      </c>
      <c r="J88">
        <f t="shared" si="2"/>
        <v>7.125</v>
      </c>
      <c r="K88">
        <f t="shared" si="3"/>
        <v>-0.90025605126853692</v>
      </c>
      <c r="L88">
        <v>33178.846579999998</v>
      </c>
      <c r="M88">
        <v>0.20147573639999999</v>
      </c>
      <c r="P88">
        <v>0.79852426359999995</v>
      </c>
      <c r="R88">
        <v>50482.593670000002</v>
      </c>
      <c r="S88">
        <v>187928.6121</v>
      </c>
      <c r="W88">
        <v>49199.929199999999</v>
      </c>
      <c r="X88">
        <v>309689.07309999998</v>
      </c>
      <c r="AI88">
        <v>-0.73801161420000005</v>
      </c>
      <c r="AJ88">
        <v>0.67478800920000004</v>
      </c>
      <c r="AM88">
        <v>-0.67478693430000003</v>
      </c>
      <c r="AN88">
        <v>-0.73801259699999999</v>
      </c>
      <c r="AS88">
        <v>0</v>
      </c>
      <c r="AT88">
        <v>0</v>
      </c>
      <c r="AZ88">
        <v>0</v>
      </c>
      <c r="BA88">
        <v>-0.91387599519999996</v>
      </c>
      <c r="BB88">
        <v>0.40599343020000001</v>
      </c>
      <c r="BC88">
        <v>0</v>
      </c>
      <c r="BD88">
        <v>-0.40599342519999998</v>
      </c>
      <c r="BE88">
        <v>-0.91387599740000003</v>
      </c>
    </row>
    <row r="89" spans="1:85" x14ac:dyDescent="0.25">
      <c r="A89" t="s">
        <v>292</v>
      </c>
      <c r="B89" t="s">
        <v>293</v>
      </c>
      <c r="C89">
        <v>1000</v>
      </c>
      <c r="D89" t="s">
        <v>294</v>
      </c>
      <c r="F89">
        <v>75</v>
      </c>
      <c r="H89">
        <v>25</v>
      </c>
      <c r="J89">
        <f t="shared" si="2"/>
        <v>6.75</v>
      </c>
      <c r="K89">
        <f t="shared" si="3"/>
        <v>-0.56233514461880829</v>
      </c>
      <c r="L89">
        <v>33201.466189999999</v>
      </c>
      <c r="P89">
        <v>0.75538348089999996</v>
      </c>
      <c r="Q89">
        <v>0.24461651910000001</v>
      </c>
      <c r="W89">
        <v>122950.2659</v>
      </c>
      <c r="AB89">
        <v>33349.014990000003</v>
      </c>
      <c r="AZ89">
        <v>0</v>
      </c>
      <c r="BA89">
        <v>1</v>
      </c>
      <c r="BV89">
        <v>0</v>
      </c>
      <c r="BW89">
        <v>1</v>
      </c>
    </row>
    <row r="90" spans="1:85" x14ac:dyDescent="0.25">
      <c r="A90" t="s">
        <v>295</v>
      </c>
      <c r="B90" t="s">
        <v>296</v>
      </c>
      <c r="C90">
        <v>1000</v>
      </c>
      <c r="D90" t="s">
        <v>111</v>
      </c>
      <c r="E90">
        <v>62.5</v>
      </c>
      <c r="G90">
        <v>12.5</v>
      </c>
      <c r="H90">
        <v>25</v>
      </c>
      <c r="J90">
        <f t="shared" si="2"/>
        <v>8.75</v>
      </c>
      <c r="K90">
        <f t="shared" si="3"/>
        <v>-0.90025605126853692</v>
      </c>
      <c r="L90">
        <v>32223.856210000002</v>
      </c>
      <c r="M90">
        <v>1</v>
      </c>
      <c r="R90">
        <v>58663.950510000002</v>
      </c>
      <c r="S90">
        <v>182514.4908</v>
      </c>
      <c r="AJ90">
        <v>0.79527190120000002</v>
      </c>
      <c r="AK90">
        <v>-0.60625292009999998</v>
      </c>
      <c r="AL90">
        <v>0.795272113</v>
      </c>
      <c r="AN90">
        <v>0.60625264229999998</v>
      </c>
      <c r="AS90">
        <v>0</v>
      </c>
      <c r="AT90">
        <v>0</v>
      </c>
    </row>
    <row r="91" spans="1:85" x14ac:dyDescent="0.25">
      <c r="A91" t="s">
        <v>297</v>
      </c>
      <c r="B91" t="s">
        <v>298</v>
      </c>
      <c r="C91">
        <v>1000</v>
      </c>
      <c r="D91" t="s">
        <v>111</v>
      </c>
      <c r="E91">
        <v>50</v>
      </c>
      <c r="F91">
        <v>12.5</v>
      </c>
      <c r="G91">
        <v>12.5</v>
      </c>
      <c r="H91">
        <v>25</v>
      </c>
      <c r="J91">
        <f t="shared" si="2"/>
        <v>8.375</v>
      </c>
      <c r="K91">
        <f t="shared" si="3"/>
        <v>-1.2130075659799042</v>
      </c>
      <c r="L91">
        <v>31657.408210000001</v>
      </c>
      <c r="M91">
        <v>1</v>
      </c>
      <c r="R91">
        <v>55279.191859999999</v>
      </c>
      <c r="S91">
        <v>92941.365900000004</v>
      </c>
      <c r="Z91">
        <v>172028.35329999999</v>
      </c>
      <c r="AI91">
        <v>-0.2046630556</v>
      </c>
      <c r="AJ91">
        <v>0.85267038439999998</v>
      </c>
      <c r="AK91">
        <v>-0.48069350859999999</v>
      </c>
      <c r="AL91">
        <v>-0.3473306645</v>
      </c>
      <c r="AM91">
        <v>0.93728904999999996</v>
      </c>
      <c r="AN91">
        <v>2.916584086E-2</v>
      </c>
      <c r="AS91">
        <v>0</v>
      </c>
      <c r="AT91">
        <v>0</v>
      </c>
      <c r="BK91">
        <v>0</v>
      </c>
      <c r="BL91">
        <v>-0.80516778700000002</v>
      </c>
      <c r="BM91">
        <v>-0.28213873480000001</v>
      </c>
      <c r="BN91">
        <v>-0.52163451679999995</v>
      </c>
    </row>
    <row r="92" spans="1:85" x14ac:dyDescent="0.25">
      <c r="A92" t="s">
        <v>299</v>
      </c>
      <c r="B92" t="s">
        <v>300</v>
      </c>
      <c r="C92">
        <v>1000</v>
      </c>
      <c r="D92" t="s">
        <v>301</v>
      </c>
      <c r="E92">
        <v>37.5</v>
      </c>
      <c r="F92">
        <v>25</v>
      </c>
      <c r="G92">
        <v>12.5</v>
      </c>
      <c r="H92">
        <v>25</v>
      </c>
      <c r="J92">
        <f t="shared" si="2"/>
        <v>8</v>
      </c>
      <c r="K92">
        <f t="shared" si="3"/>
        <v>-1.3208883431493221</v>
      </c>
      <c r="L92">
        <v>31319.30747</v>
      </c>
      <c r="M92">
        <v>0.94367199840000004</v>
      </c>
      <c r="Q92">
        <v>5.6328001599999997E-2</v>
      </c>
      <c r="R92">
        <v>52567.278879999998</v>
      </c>
      <c r="S92">
        <v>59898.398379999999</v>
      </c>
      <c r="Z92">
        <v>174548.16279999999</v>
      </c>
      <c r="AB92">
        <v>91879.797359999997</v>
      </c>
      <c r="AC92">
        <v>139204.3842</v>
      </c>
      <c r="AD92">
        <v>278104.37819999998</v>
      </c>
      <c r="AI92">
        <v>-0.68484682080000003</v>
      </c>
      <c r="AJ92">
        <v>0.71202723329999995</v>
      </c>
      <c r="AK92">
        <v>-0.15492595349999999</v>
      </c>
      <c r="AL92">
        <v>0.51947615020000004</v>
      </c>
      <c r="AM92">
        <v>-0.66951927310000003</v>
      </c>
      <c r="AN92">
        <v>-0.53093170209999996</v>
      </c>
      <c r="AS92">
        <v>0</v>
      </c>
      <c r="AT92">
        <v>0</v>
      </c>
      <c r="BK92">
        <v>0</v>
      </c>
      <c r="BL92">
        <v>0.84032284540000002</v>
      </c>
      <c r="BM92">
        <v>0.2876260618</v>
      </c>
      <c r="BN92">
        <v>0.45948750150000001</v>
      </c>
      <c r="BV92">
        <v>0</v>
      </c>
      <c r="BW92">
        <v>-0.98619795580000003</v>
      </c>
      <c r="BX92">
        <v>0.149443979</v>
      </c>
      <c r="BY92">
        <v>7.1274743429999995E-2</v>
      </c>
      <c r="BZ92">
        <v>0</v>
      </c>
      <c r="CA92">
        <v>-0.9542973213</v>
      </c>
      <c r="CB92">
        <v>-0.16272587599999999</v>
      </c>
      <c r="CC92">
        <v>-0.25067291809999998</v>
      </c>
      <c r="CD92">
        <v>0</v>
      </c>
      <c r="CE92">
        <v>0.2588120928</v>
      </c>
      <c r="CF92">
        <v>-3.0555157289999999E-2</v>
      </c>
      <c r="CG92">
        <v>-0.96544429310000002</v>
      </c>
    </row>
    <row r="93" spans="1:85" x14ac:dyDescent="0.25">
      <c r="A93" t="s">
        <v>302</v>
      </c>
      <c r="B93" t="s">
        <v>303</v>
      </c>
      <c r="C93">
        <v>1000</v>
      </c>
      <c r="D93" t="s">
        <v>301</v>
      </c>
      <c r="E93">
        <v>25</v>
      </c>
      <c r="F93">
        <v>37.5</v>
      </c>
      <c r="G93">
        <v>12.5</v>
      </c>
      <c r="H93">
        <v>25</v>
      </c>
      <c r="J93">
        <f t="shared" si="2"/>
        <v>7.625</v>
      </c>
      <c r="K93">
        <f t="shared" si="3"/>
        <v>-1.3208883431493221</v>
      </c>
      <c r="L93">
        <v>31086.236290000001</v>
      </c>
      <c r="M93">
        <v>0.81084333279999998</v>
      </c>
      <c r="Q93">
        <v>0.18915666719999999</v>
      </c>
      <c r="R93">
        <v>48250.593800000002</v>
      </c>
      <c r="S93">
        <v>60240.81465</v>
      </c>
      <c r="Z93">
        <v>217949.61550000001</v>
      </c>
      <c r="AB93">
        <v>56879.452709999998</v>
      </c>
      <c r="AC93">
        <v>128263.36</v>
      </c>
      <c r="AD93">
        <v>465931.75349999999</v>
      </c>
      <c r="AI93">
        <v>-0.91323190779999996</v>
      </c>
      <c r="AJ93">
        <v>0.27389005999999999</v>
      </c>
      <c r="AK93">
        <v>0.30164833429999999</v>
      </c>
      <c r="AL93">
        <v>-0.52044667649999998</v>
      </c>
      <c r="AM93">
        <v>8.2973968309999993E-2</v>
      </c>
      <c r="AN93">
        <v>0.84985326819999996</v>
      </c>
      <c r="AS93">
        <v>0</v>
      </c>
      <c r="AT93">
        <v>0</v>
      </c>
      <c r="BK93">
        <v>0</v>
      </c>
      <c r="BL93">
        <v>-0.79883886790000003</v>
      </c>
      <c r="BM93">
        <v>-0.3989019915</v>
      </c>
      <c r="BN93">
        <v>-0.45025955220000002</v>
      </c>
      <c r="BV93">
        <v>0</v>
      </c>
      <c r="BW93">
        <v>-0.99710789629999996</v>
      </c>
      <c r="BX93">
        <v>7.4930370580000003E-2</v>
      </c>
      <c r="BY93">
        <v>-1.269971259E-2</v>
      </c>
      <c r="BZ93">
        <v>0</v>
      </c>
      <c r="CA93">
        <v>-0.98975834579999999</v>
      </c>
      <c r="CB93">
        <v>-7.2813988110000005E-2</v>
      </c>
      <c r="CC93">
        <v>-0.1227865627</v>
      </c>
      <c r="CD93">
        <v>0</v>
      </c>
      <c r="CE93">
        <v>-0.12150723889999999</v>
      </c>
      <c r="CF93">
        <v>-2.1770506320000001E-2</v>
      </c>
      <c r="CG93">
        <v>0.99235177029999999</v>
      </c>
    </row>
    <row r="94" spans="1:85" x14ac:dyDescent="0.25">
      <c r="A94" t="s">
        <v>304</v>
      </c>
      <c r="B94" t="s">
        <v>305</v>
      </c>
      <c r="C94">
        <v>1000</v>
      </c>
      <c r="D94" t="s">
        <v>306</v>
      </c>
      <c r="E94">
        <v>12.5</v>
      </c>
      <c r="F94">
        <v>50</v>
      </c>
      <c r="G94">
        <v>12.5</v>
      </c>
      <c r="H94">
        <v>25</v>
      </c>
      <c r="J94">
        <f t="shared" si="2"/>
        <v>7.25</v>
      </c>
      <c r="K94">
        <f t="shared" si="3"/>
        <v>-1.2130075659799042</v>
      </c>
      <c r="L94">
        <v>32601.197179999999</v>
      </c>
      <c r="M94">
        <v>0.57087065469999998</v>
      </c>
      <c r="P94">
        <v>0.1564250586</v>
      </c>
      <c r="Q94">
        <v>0.27270428660000001</v>
      </c>
      <c r="R94">
        <v>44640.289449999997</v>
      </c>
      <c r="S94">
        <v>72136.340389999998</v>
      </c>
      <c r="W94">
        <v>46307.39731</v>
      </c>
      <c r="X94">
        <v>101157.2098</v>
      </c>
      <c r="Z94">
        <v>259811.77239999999</v>
      </c>
      <c r="AA94">
        <v>395592.1176</v>
      </c>
      <c r="AB94">
        <v>38399.525860000002</v>
      </c>
      <c r="AC94">
        <v>111748.7194</v>
      </c>
      <c r="AD94">
        <v>609707.83200000005</v>
      </c>
      <c r="AI94">
        <v>-0.87705276990000003</v>
      </c>
      <c r="AJ94">
        <v>0.1301642569</v>
      </c>
      <c r="AK94">
        <v>0.46242372900000001</v>
      </c>
      <c r="AL94">
        <v>-0.45519128139999998</v>
      </c>
      <c r="AM94">
        <v>-0.10884542530000001</v>
      </c>
      <c r="AN94">
        <v>0.88371577489999997</v>
      </c>
      <c r="AS94">
        <v>0</v>
      </c>
      <c r="AT94">
        <v>0</v>
      </c>
      <c r="AZ94">
        <v>0</v>
      </c>
      <c r="BA94">
        <v>0.93309362559999998</v>
      </c>
      <c r="BB94">
        <v>-0.1475238082</v>
      </c>
      <c r="BC94">
        <v>0</v>
      </c>
      <c r="BD94">
        <v>-0.17319294730000001</v>
      </c>
      <c r="BE94">
        <v>0.61494125330000005</v>
      </c>
      <c r="BK94">
        <v>0</v>
      </c>
      <c r="BL94">
        <v>-0.76089810570000005</v>
      </c>
      <c r="BM94">
        <v>-0.46789959660000002</v>
      </c>
      <c r="BN94">
        <v>-0.44955982950000001</v>
      </c>
      <c r="BO94">
        <v>-0.3279832493</v>
      </c>
      <c r="BP94">
        <v>-0.76931882730000001</v>
      </c>
      <c r="BQ94">
        <v>0</v>
      </c>
      <c r="BR94">
        <v>-0.54824768020000003</v>
      </c>
      <c r="BS94">
        <v>-0.31518327190000001</v>
      </c>
      <c r="BT94">
        <v>-0.77465088029999996</v>
      </c>
      <c r="BV94">
        <v>0</v>
      </c>
      <c r="BW94">
        <v>-0.99463638399999998</v>
      </c>
      <c r="BX94">
        <v>9.3897148159999999E-2</v>
      </c>
      <c r="BY94">
        <v>-4.3379593879999997E-2</v>
      </c>
      <c r="BZ94">
        <v>0</v>
      </c>
      <c r="CA94">
        <v>0.99155064380000002</v>
      </c>
      <c r="CB94">
        <v>8.951102373E-2</v>
      </c>
      <c r="CC94">
        <v>9.3888749800000004E-2</v>
      </c>
      <c r="CD94">
        <v>0</v>
      </c>
      <c r="CE94">
        <v>-8.9502213090000005E-2</v>
      </c>
      <c r="CF94">
        <v>-5.1828949710000002E-2</v>
      </c>
      <c r="CG94">
        <v>0.99463717699999998</v>
      </c>
    </row>
    <row r="95" spans="1:85" x14ac:dyDescent="0.25">
      <c r="A95" t="s">
        <v>307</v>
      </c>
      <c r="B95" t="s">
        <v>308</v>
      </c>
      <c r="C95">
        <v>1000</v>
      </c>
      <c r="D95" t="s">
        <v>294</v>
      </c>
      <c r="F95">
        <v>62.5</v>
      </c>
      <c r="G95">
        <v>12.5</v>
      </c>
      <c r="H95">
        <v>25</v>
      </c>
      <c r="J95">
        <f t="shared" si="2"/>
        <v>6.875</v>
      </c>
      <c r="K95">
        <f t="shared" si="3"/>
        <v>-0.90025605126853692</v>
      </c>
      <c r="L95">
        <v>34152.966310000003</v>
      </c>
      <c r="P95">
        <v>0.92521030140000005</v>
      </c>
      <c r="Q95">
        <v>7.4789698609999997E-2</v>
      </c>
      <c r="W95">
        <v>45570.444920000002</v>
      </c>
      <c r="X95">
        <v>261283.8126</v>
      </c>
      <c r="AB95">
        <v>35819.84953</v>
      </c>
      <c r="AC95">
        <v>120956.1621</v>
      </c>
      <c r="AZ95">
        <v>0</v>
      </c>
      <c r="BA95">
        <v>-0.83850098679999996</v>
      </c>
      <c r="BC95">
        <v>0</v>
      </c>
      <c r="BD95">
        <v>-0.54490007880000002</v>
      </c>
      <c r="BO95">
        <v>0.54490007809999996</v>
      </c>
      <c r="BP95">
        <v>-0.83850098640000004</v>
      </c>
      <c r="BV95">
        <v>0</v>
      </c>
      <c r="BW95">
        <v>-0.98044223620000004</v>
      </c>
      <c r="BX95">
        <v>0.19680706670000001</v>
      </c>
      <c r="BZ95">
        <v>0</v>
      </c>
      <c r="CA95">
        <v>-0.98044146720000003</v>
      </c>
      <c r="CB95">
        <v>-0.19681089769999999</v>
      </c>
    </row>
    <row r="96" spans="1:85" x14ac:dyDescent="0.25">
      <c r="A96" t="s">
        <v>309</v>
      </c>
      <c r="B96" t="s">
        <v>310</v>
      </c>
      <c r="C96">
        <v>1000</v>
      </c>
      <c r="D96" t="s">
        <v>111</v>
      </c>
      <c r="E96">
        <v>50</v>
      </c>
      <c r="G96">
        <v>25</v>
      </c>
      <c r="H96">
        <v>25</v>
      </c>
      <c r="J96">
        <f t="shared" si="2"/>
        <v>8.5</v>
      </c>
      <c r="K96">
        <f t="shared" si="3"/>
        <v>-1.0397207708399179</v>
      </c>
      <c r="L96">
        <v>34233.834340000001</v>
      </c>
      <c r="M96">
        <v>1</v>
      </c>
      <c r="R96">
        <v>36941.699050000003</v>
      </c>
      <c r="S96">
        <v>159643.16310000001</v>
      </c>
      <c r="AJ96">
        <v>0.70404060369999999</v>
      </c>
      <c r="AK96">
        <v>-0.71015972029999996</v>
      </c>
      <c r="AL96">
        <v>-0.70404060449999994</v>
      </c>
      <c r="AN96">
        <v>-0.71015971950000001</v>
      </c>
      <c r="AS96">
        <v>0</v>
      </c>
      <c r="AT96">
        <v>0</v>
      </c>
    </row>
    <row r="97" spans="1:85" x14ac:dyDescent="0.25">
      <c r="A97" t="s">
        <v>311</v>
      </c>
      <c r="B97" t="s">
        <v>312</v>
      </c>
      <c r="C97">
        <v>1000</v>
      </c>
      <c r="D97" t="s">
        <v>111</v>
      </c>
      <c r="E97">
        <v>37.5</v>
      </c>
      <c r="F97">
        <v>12.5</v>
      </c>
      <c r="G97">
        <v>25</v>
      </c>
      <c r="H97">
        <v>25</v>
      </c>
      <c r="J97">
        <f t="shared" si="2"/>
        <v>8.125</v>
      </c>
      <c r="K97">
        <f t="shared" si="3"/>
        <v>-1.3208883431493221</v>
      </c>
      <c r="L97">
        <v>33875.940179999998</v>
      </c>
      <c r="M97">
        <v>1</v>
      </c>
      <c r="R97">
        <v>39902.688399999999</v>
      </c>
      <c r="S97">
        <v>90009.187340000004</v>
      </c>
      <c r="Z97">
        <v>160559.93119999999</v>
      </c>
      <c r="AI97">
        <v>4.8769558079999997E-2</v>
      </c>
      <c r="AJ97">
        <v>0.73628157260000004</v>
      </c>
      <c r="AK97">
        <v>-0.67491553250000003</v>
      </c>
      <c r="AL97">
        <v>-0.36032887130000002</v>
      </c>
      <c r="AM97">
        <v>0.84897403090000001</v>
      </c>
      <c r="AN97">
        <v>-0.3865309811</v>
      </c>
      <c r="AS97">
        <v>0</v>
      </c>
      <c r="AT97">
        <v>0</v>
      </c>
      <c r="BK97">
        <v>0</v>
      </c>
      <c r="BL97">
        <v>-0.64393488290000001</v>
      </c>
      <c r="BM97">
        <v>-0.5261792649</v>
      </c>
      <c r="BN97">
        <v>-0.55541268239999997</v>
      </c>
    </row>
    <row r="98" spans="1:85" x14ac:dyDescent="0.25">
      <c r="A98" t="s">
        <v>313</v>
      </c>
      <c r="B98" t="s">
        <v>314</v>
      </c>
      <c r="C98">
        <v>1000</v>
      </c>
      <c r="D98" t="s">
        <v>301</v>
      </c>
      <c r="E98">
        <v>25</v>
      </c>
      <c r="F98">
        <v>25</v>
      </c>
      <c r="G98">
        <v>25</v>
      </c>
      <c r="H98">
        <v>25</v>
      </c>
      <c r="J98">
        <f t="shared" si="2"/>
        <v>7.75</v>
      </c>
      <c r="K98">
        <f t="shared" si="3"/>
        <v>-1.3862943611198906</v>
      </c>
      <c r="L98">
        <v>33127.901599999997</v>
      </c>
      <c r="M98">
        <v>0.87701046780000003</v>
      </c>
      <c r="Q98">
        <v>0.1229895322</v>
      </c>
      <c r="R98">
        <v>40730.036489999999</v>
      </c>
      <c r="S98">
        <v>61111.678690000001</v>
      </c>
      <c r="Z98">
        <v>178629.12820000001</v>
      </c>
      <c r="AB98">
        <v>56439.43924</v>
      </c>
      <c r="AC98">
        <v>83397.471789999996</v>
      </c>
      <c r="AD98">
        <v>265116.07819999999</v>
      </c>
      <c r="AI98">
        <v>0.43150713930000001</v>
      </c>
      <c r="AJ98">
        <v>0.55987584410000002</v>
      </c>
      <c r="AK98">
        <v>-0.7073476004</v>
      </c>
      <c r="AL98">
        <v>2.223447445E-2</v>
      </c>
      <c r="AM98">
        <v>-0.77807961290000005</v>
      </c>
      <c r="AN98">
        <v>0.62777204789999996</v>
      </c>
      <c r="AS98">
        <v>0</v>
      </c>
      <c r="AT98">
        <v>0</v>
      </c>
      <c r="BK98">
        <v>0</v>
      </c>
      <c r="BL98">
        <v>0.70651610220000005</v>
      </c>
      <c r="BM98">
        <v>0.4565015932</v>
      </c>
      <c r="BN98">
        <v>0.54077841370000002</v>
      </c>
      <c r="BV98">
        <v>0</v>
      </c>
      <c r="BW98">
        <v>-0.23563018899999999</v>
      </c>
      <c r="BX98">
        <v>0.96086184779999995</v>
      </c>
      <c r="BY98">
        <v>0.145680896</v>
      </c>
      <c r="BZ98">
        <v>0</v>
      </c>
      <c r="CA98">
        <v>-0.23227351169999999</v>
      </c>
      <c r="CB98">
        <v>-0.97183222030000005</v>
      </c>
      <c r="CC98">
        <v>-3.9889239149999998E-2</v>
      </c>
      <c r="CD98">
        <v>0</v>
      </c>
      <c r="CE98">
        <v>-0.15097691150000001</v>
      </c>
      <c r="CF98">
        <v>-4.4907432129999997E-3</v>
      </c>
      <c r="CG98">
        <v>0.98852708889999996</v>
      </c>
    </row>
    <row r="99" spans="1:85" x14ac:dyDescent="0.25">
      <c r="A99" t="s">
        <v>315</v>
      </c>
      <c r="B99" t="s">
        <v>316</v>
      </c>
      <c r="C99">
        <v>1000</v>
      </c>
      <c r="D99" t="s">
        <v>301</v>
      </c>
      <c r="E99">
        <v>12.5</v>
      </c>
      <c r="F99">
        <v>37.5</v>
      </c>
      <c r="G99">
        <v>25</v>
      </c>
      <c r="H99">
        <v>25</v>
      </c>
      <c r="J99">
        <f t="shared" si="2"/>
        <v>7.375</v>
      </c>
      <c r="K99">
        <f t="shared" si="3"/>
        <v>-1.3208883431493221</v>
      </c>
      <c r="L99">
        <v>33524.292959999999</v>
      </c>
      <c r="M99">
        <v>0.69315979599999999</v>
      </c>
      <c r="Q99">
        <v>0.30684020400000001</v>
      </c>
      <c r="R99">
        <v>36054.93705</v>
      </c>
      <c r="S99">
        <v>70414.121899999998</v>
      </c>
      <c r="Z99">
        <v>218082.7561</v>
      </c>
      <c r="AB99">
        <v>44834.597289999998</v>
      </c>
      <c r="AC99">
        <v>63716.971089999999</v>
      </c>
      <c r="AD99">
        <v>467555.17019999999</v>
      </c>
      <c r="AI99">
        <v>-0.71411725120000002</v>
      </c>
      <c r="AJ99">
        <v>-0.20873438089999999</v>
      </c>
      <c r="AK99">
        <v>0.66818149469999999</v>
      </c>
      <c r="AL99">
        <v>0.27129741299999999</v>
      </c>
      <c r="AM99">
        <v>0.49510093100000002</v>
      </c>
      <c r="AN99">
        <v>-0.82539250159999999</v>
      </c>
      <c r="AS99">
        <v>0</v>
      </c>
      <c r="AT99">
        <v>0</v>
      </c>
      <c r="BK99">
        <v>0</v>
      </c>
      <c r="BL99">
        <v>-0.69277218559999998</v>
      </c>
      <c r="BM99">
        <v>-0.49488209579999998</v>
      </c>
      <c r="BN99">
        <v>-0.52455544050000003</v>
      </c>
      <c r="BV99">
        <v>0</v>
      </c>
      <c r="BW99">
        <v>-0.82375841179999998</v>
      </c>
      <c r="BX99">
        <v>0.56684361790000004</v>
      </c>
      <c r="BY99">
        <v>1.0506748749999999E-2</v>
      </c>
      <c r="BZ99">
        <v>0</v>
      </c>
      <c r="CA99">
        <v>0.81960179649999998</v>
      </c>
      <c r="CB99">
        <v>0.56519032670000002</v>
      </c>
      <c r="CC99">
        <v>9.3876460300000006E-2</v>
      </c>
      <c r="CD99">
        <v>0</v>
      </c>
      <c r="CE99">
        <v>-8.3270910239999996E-2</v>
      </c>
      <c r="CF99">
        <v>-4.4602664850000001E-2</v>
      </c>
      <c r="CG99">
        <v>0.9955282808</v>
      </c>
    </row>
    <row r="100" spans="1:85" x14ac:dyDescent="0.25">
      <c r="A100" t="s">
        <v>317</v>
      </c>
      <c r="B100" t="s">
        <v>318</v>
      </c>
      <c r="C100">
        <v>1000</v>
      </c>
      <c r="D100" t="s">
        <v>319</v>
      </c>
      <c r="F100">
        <v>50</v>
      </c>
      <c r="G100">
        <v>25</v>
      </c>
      <c r="H100">
        <v>25</v>
      </c>
      <c r="J100">
        <f t="shared" si="2"/>
        <v>7</v>
      </c>
      <c r="K100">
        <f t="shared" si="3"/>
        <v>-1.0397207708399179</v>
      </c>
      <c r="L100">
        <v>34979.17628</v>
      </c>
      <c r="P100">
        <v>1</v>
      </c>
      <c r="W100">
        <v>34316.117709999999</v>
      </c>
      <c r="X100">
        <v>218268.52859999999</v>
      </c>
      <c r="AZ100">
        <v>0</v>
      </c>
      <c r="BA100">
        <v>-0.78288234030000003</v>
      </c>
      <c r="BC100">
        <v>0</v>
      </c>
      <c r="BD100">
        <v>-0.62216978590000005</v>
      </c>
      <c r="BO100">
        <v>0.62216978489999997</v>
      </c>
      <c r="BP100">
        <v>-0.78288233949999997</v>
      </c>
    </row>
    <row r="101" spans="1:85" x14ac:dyDescent="0.25">
      <c r="A101" t="s">
        <v>320</v>
      </c>
      <c r="B101" t="s">
        <v>321</v>
      </c>
      <c r="C101">
        <v>1000</v>
      </c>
      <c r="D101" t="s">
        <v>111</v>
      </c>
      <c r="E101">
        <v>37.5</v>
      </c>
      <c r="G101">
        <v>37.5</v>
      </c>
      <c r="H101">
        <v>25</v>
      </c>
      <c r="J101">
        <f t="shared" si="2"/>
        <v>8.25</v>
      </c>
      <c r="K101">
        <f t="shared" si="3"/>
        <v>-1.0821955300387673</v>
      </c>
      <c r="L101">
        <v>36230.604899999998</v>
      </c>
      <c r="M101">
        <v>1</v>
      </c>
      <c r="R101">
        <v>28900.670709999999</v>
      </c>
      <c r="S101">
        <v>154595.0068</v>
      </c>
      <c r="AJ101">
        <v>0.67977925679999995</v>
      </c>
      <c r="AK101">
        <v>-0.73341677240000003</v>
      </c>
      <c r="AL101">
        <v>-0.67977620579999998</v>
      </c>
      <c r="AN101">
        <v>-0.73341960029999997</v>
      </c>
      <c r="AS101">
        <v>0</v>
      </c>
      <c r="AT101">
        <v>0</v>
      </c>
    </row>
    <row r="102" spans="1:85" x14ac:dyDescent="0.25">
      <c r="A102" t="s">
        <v>322</v>
      </c>
      <c r="B102" t="s">
        <v>323</v>
      </c>
      <c r="C102">
        <v>1000</v>
      </c>
      <c r="D102" t="s">
        <v>301</v>
      </c>
      <c r="E102">
        <v>25</v>
      </c>
      <c r="F102">
        <v>12.5</v>
      </c>
      <c r="G102">
        <v>37.5</v>
      </c>
      <c r="H102">
        <v>25</v>
      </c>
      <c r="J102">
        <f t="shared" si="2"/>
        <v>7.875</v>
      </c>
      <c r="K102">
        <f t="shared" si="3"/>
        <v>-1.3208883431493221</v>
      </c>
      <c r="L102">
        <v>35653.932690000001</v>
      </c>
      <c r="M102">
        <v>0.95657613480000003</v>
      </c>
      <c r="Q102">
        <v>4.3423865200000002E-2</v>
      </c>
      <c r="R102">
        <v>33538.894979999997</v>
      </c>
      <c r="S102">
        <v>90892.432740000004</v>
      </c>
      <c r="Z102">
        <v>178750.8094</v>
      </c>
      <c r="AB102">
        <v>36864.361989999998</v>
      </c>
      <c r="AC102">
        <v>131871.0551</v>
      </c>
      <c r="AD102">
        <v>161301.8702</v>
      </c>
      <c r="AI102">
        <v>0.1809132812</v>
      </c>
      <c r="AJ102">
        <v>0.63545341509999997</v>
      </c>
      <c r="AK102">
        <v>-0.75064594979999999</v>
      </c>
      <c r="AL102">
        <v>-0.29293956659999998</v>
      </c>
      <c r="AM102">
        <v>0.77094779609999997</v>
      </c>
      <c r="AN102">
        <v>-0.56553152520000005</v>
      </c>
      <c r="AS102">
        <v>0</v>
      </c>
      <c r="AT102">
        <v>0</v>
      </c>
      <c r="BK102">
        <v>0</v>
      </c>
      <c r="BL102">
        <v>0.59220841270000002</v>
      </c>
      <c r="BM102">
        <v>0.61066701980000004</v>
      </c>
      <c r="BN102">
        <v>0.52571378800000002</v>
      </c>
      <c r="BV102">
        <v>0</v>
      </c>
      <c r="BW102">
        <v>-7.1455050239999998E-2</v>
      </c>
      <c r="BX102">
        <v>0.98001608699999998</v>
      </c>
      <c r="BY102">
        <v>0.1856411727</v>
      </c>
      <c r="BZ102">
        <v>0</v>
      </c>
      <c r="CA102">
        <v>0.1967449446</v>
      </c>
      <c r="CB102">
        <v>0.21062897420000001</v>
      </c>
      <c r="CC102">
        <v>-0.95756298070000001</v>
      </c>
      <c r="CD102">
        <v>0</v>
      </c>
      <c r="CE102">
        <v>-2.9321703670000001E-2</v>
      </c>
      <c r="CF102">
        <v>-0.97495129300000005</v>
      </c>
      <c r="CG102">
        <v>-0.22047724120000001</v>
      </c>
    </row>
    <row r="103" spans="1:85" x14ac:dyDescent="0.25">
      <c r="A103" t="s">
        <v>324</v>
      </c>
      <c r="B103" t="s">
        <v>325</v>
      </c>
      <c r="C103">
        <v>1000</v>
      </c>
      <c r="D103" t="s">
        <v>301</v>
      </c>
      <c r="E103">
        <v>12.5</v>
      </c>
      <c r="F103">
        <v>25</v>
      </c>
      <c r="G103">
        <v>37.5</v>
      </c>
      <c r="H103">
        <v>25</v>
      </c>
      <c r="J103">
        <f t="shared" si="2"/>
        <v>7.5</v>
      </c>
      <c r="K103">
        <f t="shared" si="3"/>
        <v>-1.3208883431493221</v>
      </c>
      <c r="L103">
        <v>35216.156410000003</v>
      </c>
      <c r="M103">
        <v>0.75156252990000005</v>
      </c>
      <c r="Q103">
        <v>0.2484374701</v>
      </c>
      <c r="R103">
        <v>33137.354290000003</v>
      </c>
      <c r="S103">
        <v>77915.799549999996</v>
      </c>
      <c r="Z103">
        <v>204460.6581</v>
      </c>
      <c r="AB103">
        <v>37505.764640000001</v>
      </c>
      <c r="AC103">
        <v>77057.413780000003</v>
      </c>
      <c r="AD103">
        <v>320024.55070000002</v>
      </c>
      <c r="AI103">
        <v>0.55389228980000005</v>
      </c>
      <c r="AJ103">
        <v>0.35263883899999998</v>
      </c>
      <c r="AK103">
        <v>-0.75422090959999999</v>
      </c>
      <c r="AL103">
        <v>0.1385481268</v>
      </c>
      <c r="AM103">
        <v>0.65920179810000001</v>
      </c>
      <c r="AN103">
        <v>-0.73909228520000003</v>
      </c>
      <c r="AS103">
        <v>0</v>
      </c>
      <c r="AT103">
        <v>0</v>
      </c>
      <c r="BK103">
        <v>0</v>
      </c>
      <c r="BL103">
        <v>-0.64183430360000004</v>
      </c>
      <c r="BM103">
        <v>-0.50858268650000005</v>
      </c>
      <c r="BN103">
        <v>-0.57392715360000002</v>
      </c>
      <c r="BV103">
        <v>0</v>
      </c>
      <c r="BW103">
        <v>0.31828591490000002</v>
      </c>
      <c r="BX103">
        <v>-0.94584546560000005</v>
      </c>
      <c r="BY103">
        <v>-6.3799934660000002E-2</v>
      </c>
      <c r="BZ103">
        <v>0</v>
      </c>
      <c r="CA103">
        <v>0.31536796290000002</v>
      </c>
      <c r="CB103">
        <v>0.94755750809999995</v>
      </c>
      <c r="CC103">
        <v>5.1747625730000003E-2</v>
      </c>
      <c r="CD103">
        <v>0</v>
      </c>
      <c r="CE103">
        <v>7.6924809740000002E-2</v>
      </c>
      <c r="CF103">
        <v>2.8824608910000001E-2</v>
      </c>
      <c r="CG103">
        <v>-0.99662014610000005</v>
      </c>
    </row>
    <row r="104" spans="1:85" x14ac:dyDescent="0.25">
      <c r="A104" t="s">
        <v>326</v>
      </c>
      <c r="B104" t="s">
        <v>327</v>
      </c>
      <c r="C104">
        <v>1000</v>
      </c>
      <c r="D104" t="s">
        <v>319</v>
      </c>
      <c r="F104">
        <v>37.5</v>
      </c>
      <c r="G104">
        <v>37.5</v>
      </c>
      <c r="H104">
        <v>25</v>
      </c>
      <c r="J104">
        <f t="shared" si="2"/>
        <v>7.125</v>
      </c>
      <c r="K104">
        <f t="shared" si="3"/>
        <v>-1.0821955300387673</v>
      </c>
      <c r="L104">
        <v>35742.025999999998</v>
      </c>
      <c r="P104">
        <v>1</v>
      </c>
      <c r="W104">
        <v>33032.152959999999</v>
      </c>
      <c r="X104">
        <v>206061.4319</v>
      </c>
      <c r="AZ104">
        <v>0</v>
      </c>
      <c r="BA104">
        <v>-0.74885736089999999</v>
      </c>
      <c r="BC104">
        <v>0</v>
      </c>
      <c r="BD104">
        <v>-0.6627312085</v>
      </c>
      <c r="BO104">
        <v>0.66273120720000001</v>
      </c>
      <c r="BP104">
        <v>-0.74885735980000001</v>
      </c>
    </row>
    <row r="105" spans="1:85" x14ac:dyDescent="0.25">
      <c r="A105" t="s">
        <v>328</v>
      </c>
      <c r="B105" t="s">
        <v>329</v>
      </c>
      <c r="C105">
        <v>1000</v>
      </c>
      <c r="D105" t="s">
        <v>111</v>
      </c>
      <c r="E105">
        <v>25</v>
      </c>
      <c r="G105">
        <v>50</v>
      </c>
      <c r="H105">
        <v>25</v>
      </c>
      <c r="J105">
        <f t="shared" si="2"/>
        <v>8</v>
      </c>
      <c r="K105">
        <f t="shared" si="3"/>
        <v>-1.0397207708399179</v>
      </c>
      <c r="L105">
        <v>37945.925320000002</v>
      </c>
      <c r="M105">
        <v>1</v>
      </c>
      <c r="R105">
        <v>28187.88379</v>
      </c>
      <c r="S105">
        <v>156785.39379999999</v>
      </c>
      <c r="AJ105">
        <v>0.65576838140000004</v>
      </c>
      <c r="AK105">
        <v>-0.75496213810000001</v>
      </c>
      <c r="AL105">
        <v>-0.65576838179999997</v>
      </c>
      <c r="AN105">
        <v>-0.75496213779999999</v>
      </c>
      <c r="AS105">
        <v>0</v>
      </c>
      <c r="AT105">
        <v>0</v>
      </c>
    </row>
    <row r="106" spans="1:85" x14ac:dyDescent="0.25">
      <c r="A106" t="s">
        <v>330</v>
      </c>
      <c r="B106" t="s">
        <v>331</v>
      </c>
      <c r="C106">
        <v>1000</v>
      </c>
      <c r="D106" t="s">
        <v>301</v>
      </c>
      <c r="E106">
        <v>12.5</v>
      </c>
      <c r="F106">
        <v>12.5</v>
      </c>
      <c r="G106">
        <v>50</v>
      </c>
      <c r="H106">
        <v>25</v>
      </c>
      <c r="J106">
        <f t="shared" si="2"/>
        <v>7.625</v>
      </c>
      <c r="K106">
        <f t="shared" si="3"/>
        <v>-1.2130075659799042</v>
      </c>
      <c r="L106">
        <v>37094.544929999996</v>
      </c>
      <c r="M106">
        <v>0.80342287680000002</v>
      </c>
      <c r="Q106">
        <v>0.19657712320000001</v>
      </c>
      <c r="R106">
        <v>34005.369229999997</v>
      </c>
      <c r="S106">
        <v>102504.57980000001</v>
      </c>
      <c r="Z106">
        <v>214770.59820000001</v>
      </c>
      <c r="AB106">
        <v>33971.632290000001</v>
      </c>
      <c r="AC106">
        <v>138762.30009999999</v>
      </c>
      <c r="AD106">
        <v>210898.44469999999</v>
      </c>
      <c r="AI106">
        <v>-0.33287448949999998</v>
      </c>
      <c r="AJ106">
        <v>-0.4735507457</v>
      </c>
      <c r="AK106">
        <v>0.81544114779999999</v>
      </c>
      <c r="AL106">
        <v>9.633890832E-2</v>
      </c>
      <c r="AM106">
        <v>-0.72864528790000005</v>
      </c>
      <c r="AN106">
        <v>0.67808174970000001</v>
      </c>
      <c r="AS106">
        <v>0</v>
      </c>
      <c r="AT106">
        <v>0</v>
      </c>
      <c r="BK106">
        <v>0</v>
      </c>
      <c r="BL106">
        <v>-0.57076465239999996</v>
      </c>
      <c r="BM106">
        <v>-0.59855824670000002</v>
      </c>
      <c r="BN106">
        <v>-0.56209940120000002</v>
      </c>
      <c r="BV106">
        <v>0</v>
      </c>
      <c r="BW106">
        <v>0.165636173</v>
      </c>
      <c r="BX106">
        <v>-0.98539297439999995</v>
      </c>
      <c r="BY106">
        <v>-3.9564432009999997E-2</v>
      </c>
      <c r="BZ106">
        <v>0</v>
      </c>
      <c r="CA106">
        <v>-0.16814016079999999</v>
      </c>
      <c r="CB106">
        <v>-0.98314256440000003</v>
      </c>
      <c r="CC106">
        <v>7.1830247269999994E-2</v>
      </c>
      <c r="CD106">
        <v>0</v>
      </c>
      <c r="CE106">
        <v>2.7001336000000001E-2</v>
      </c>
      <c r="CF106">
        <v>-7.7432948350000003E-2</v>
      </c>
      <c r="CG106">
        <v>-0.99663186100000001</v>
      </c>
    </row>
    <row r="107" spans="1:85" x14ac:dyDescent="0.25">
      <c r="A107" t="s">
        <v>332</v>
      </c>
      <c r="B107" t="s">
        <v>333</v>
      </c>
      <c r="C107">
        <v>1000</v>
      </c>
      <c r="D107" t="s">
        <v>334</v>
      </c>
      <c r="F107">
        <v>25</v>
      </c>
      <c r="G107">
        <v>50</v>
      </c>
      <c r="H107">
        <v>25</v>
      </c>
      <c r="J107">
        <f t="shared" si="2"/>
        <v>7.25</v>
      </c>
      <c r="K107">
        <f t="shared" si="3"/>
        <v>-1.0397207708399179</v>
      </c>
      <c r="L107">
        <v>37452.725489999997</v>
      </c>
      <c r="Q107">
        <v>1</v>
      </c>
      <c r="AB107">
        <v>30366.179510000002</v>
      </c>
      <c r="AC107">
        <v>107382.8152</v>
      </c>
      <c r="BV107">
        <v>0</v>
      </c>
      <c r="BW107">
        <v>-0.57086652449999997</v>
      </c>
      <c r="BX107">
        <v>0.82104288020000005</v>
      </c>
      <c r="BZ107">
        <v>0</v>
      </c>
      <c r="CA107">
        <v>0.57086084189999997</v>
      </c>
      <c r="CB107">
        <v>0.8210468313</v>
      </c>
    </row>
    <row r="108" spans="1:85" x14ac:dyDescent="0.25">
      <c r="A108" t="s">
        <v>335</v>
      </c>
      <c r="B108" t="s">
        <v>336</v>
      </c>
      <c r="C108">
        <v>1000</v>
      </c>
      <c r="D108" t="s">
        <v>301</v>
      </c>
      <c r="E108">
        <v>12.5</v>
      </c>
      <c r="G108">
        <v>62.5</v>
      </c>
      <c r="H108">
        <v>25</v>
      </c>
      <c r="J108">
        <f t="shared" si="2"/>
        <v>7.75</v>
      </c>
      <c r="K108">
        <f t="shared" si="3"/>
        <v>-0.90025605126853692</v>
      </c>
      <c r="L108">
        <v>38927.18561</v>
      </c>
      <c r="M108">
        <v>0.77131619910000004</v>
      </c>
      <c r="Q108">
        <v>0.22868380090000001</v>
      </c>
      <c r="R108">
        <v>37162.641810000001</v>
      </c>
      <c r="S108">
        <v>186207.74050000001</v>
      </c>
      <c r="AB108">
        <v>38761.542289999998</v>
      </c>
      <c r="AC108">
        <v>153305.8162</v>
      </c>
      <c r="AJ108">
        <v>0.59625586819999998</v>
      </c>
      <c r="AK108">
        <v>-0.80279445670000005</v>
      </c>
      <c r="AL108">
        <v>-0.59625586829999999</v>
      </c>
      <c r="AN108">
        <v>-0.80279445660000004</v>
      </c>
      <c r="AS108">
        <v>0</v>
      </c>
      <c r="AT108">
        <v>0</v>
      </c>
      <c r="BV108">
        <v>0</v>
      </c>
      <c r="BX108">
        <v>-0.99011114020000002</v>
      </c>
      <c r="BY108">
        <v>0.1402851742</v>
      </c>
      <c r="BZ108">
        <v>0</v>
      </c>
      <c r="CA108">
        <v>-0.1402834694</v>
      </c>
      <c r="CC108">
        <v>-0.99011138170000002</v>
      </c>
    </row>
    <row r="109" spans="1:85" x14ac:dyDescent="0.25">
      <c r="A109" t="s">
        <v>337</v>
      </c>
      <c r="B109" t="s">
        <v>338</v>
      </c>
      <c r="C109">
        <v>1000</v>
      </c>
      <c r="D109" t="s">
        <v>334</v>
      </c>
      <c r="F109">
        <v>12.5</v>
      </c>
      <c r="G109">
        <v>62.5</v>
      </c>
      <c r="H109">
        <v>25</v>
      </c>
      <c r="J109">
        <f t="shared" si="2"/>
        <v>7.375</v>
      </c>
      <c r="K109">
        <f t="shared" si="3"/>
        <v>-0.90025605126853692</v>
      </c>
      <c r="L109">
        <v>38591.302660000001</v>
      </c>
      <c r="Q109">
        <v>1</v>
      </c>
      <c r="AB109">
        <v>34984.244250000003</v>
      </c>
      <c r="AC109">
        <v>146931.35750000001</v>
      </c>
      <c r="BV109">
        <v>0</v>
      </c>
      <c r="BW109">
        <v>-0.40581743520000002</v>
      </c>
      <c r="BX109">
        <v>0.91395416149999997</v>
      </c>
      <c r="BZ109">
        <v>0</v>
      </c>
      <c r="CA109">
        <v>0.40581737330000001</v>
      </c>
      <c r="CB109">
        <v>0.91395418900000003</v>
      </c>
    </row>
    <row r="110" spans="1:85" x14ac:dyDescent="0.25">
      <c r="A110" t="s">
        <v>339</v>
      </c>
      <c r="B110" t="s">
        <v>340</v>
      </c>
      <c r="C110">
        <v>1000</v>
      </c>
      <c r="D110" t="s">
        <v>334</v>
      </c>
      <c r="G110">
        <v>75</v>
      </c>
      <c r="H110">
        <v>25</v>
      </c>
      <c r="J110">
        <f t="shared" si="2"/>
        <v>7.5</v>
      </c>
      <c r="K110">
        <f t="shared" si="3"/>
        <v>-0.56233514461880829</v>
      </c>
      <c r="L110">
        <v>39300.038059999999</v>
      </c>
      <c r="Q110">
        <v>1</v>
      </c>
      <c r="AB110">
        <v>54274.855929999998</v>
      </c>
      <c r="BV110">
        <v>0</v>
      </c>
      <c r="BX110">
        <v>1</v>
      </c>
    </row>
    <row r="111" spans="1:85" x14ac:dyDescent="0.25">
      <c r="A111" t="s">
        <v>341</v>
      </c>
      <c r="B111" t="s">
        <v>342</v>
      </c>
      <c r="C111">
        <v>1000</v>
      </c>
      <c r="D111" t="s">
        <v>111</v>
      </c>
      <c r="E111">
        <v>62.5</v>
      </c>
      <c r="H111">
        <v>37.5</v>
      </c>
      <c r="J111">
        <f t="shared" si="2"/>
        <v>8.5</v>
      </c>
      <c r="K111">
        <f t="shared" si="3"/>
        <v>-0.66156323815798213</v>
      </c>
      <c r="L111">
        <v>32666.320110000001</v>
      </c>
      <c r="M111">
        <v>1</v>
      </c>
      <c r="R111">
        <v>80878.905809999997</v>
      </c>
      <c r="AJ111">
        <v>1</v>
      </c>
      <c r="AS111">
        <v>0</v>
      </c>
    </row>
    <row r="112" spans="1:85" x14ac:dyDescent="0.25">
      <c r="A112" t="s">
        <v>343</v>
      </c>
      <c r="B112" t="s">
        <v>344</v>
      </c>
      <c r="C112">
        <v>1000</v>
      </c>
      <c r="D112" t="s">
        <v>210</v>
      </c>
      <c r="E112">
        <v>50</v>
      </c>
      <c r="F112">
        <v>12.5</v>
      </c>
      <c r="H112">
        <v>37.5</v>
      </c>
      <c r="J112">
        <f t="shared" si="2"/>
        <v>8.125</v>
      </c>
      <c r="K112">
        <f t="shared" si="3"/>
        <v>-0.97431475286934943</v>
      </c>
      <c r="L112">
        <v>31390.305049999999</v>
      </c>
      <c r="M112">
        <v>0.59386464719999998</v>
      </c>
      <c r="O112">
        <v>0.40613535280000002</v>
      </c>
      <c r="R112">
        <v>69637.563429999995</v>
      </c>
      <c r="S112">
        <v>103038.35309999999</v>
      </c>
      <c r="U112">
        <v>68073.168669999999</v>
      </c>
      <c r="V112">
        <v>95576.246790000005</v>
      </c>
      <c r="AI112">
        <v>-0.25726263579999997</v>
      </c>
      <c r="AJ112">
        <v>0.96634152149999997</v>
      </c>
      <c r="AM112">
        <v>0.96634151850000005</v>
      </c>
      <c r="AN112">
        <v>0.25726264729999998</v>
      </c>
      <c r="AR112">
        <v>0.31744660250000001</v>
      </c>
      <c r="AS112">
        <v>0</v>
      </c>
      <c r="AT112">
        <v>0</v>
      </c>
      <c r="AU112">
        <v>0</v>
      </c>
      <c r="AV112">
        <v>0.9482761489</v>
      </c>
      <c r="AW112">
        <v>0</v>
      </c>
      <c r="AX112">
        <v>0.94827615600000004</v>
      </c>
      <c r="AY112">
        <v>-0.31744658139999998</v>
      </c>
    </row>
    <row r="113" spans="1:85" x14ac:dyDescent="0.25">
      <c r="A113" t="s">
        <v>345</v>
      </c>
      <c r="B113" t="s">
        <v>346</v>
      </c>
      <c r="C113">
        <v>1000</v>
      </c>
      <c r="D113" t="s">
        <v>347</v>
      </c>
      <c r="E113">
        <v>37.5</v>
      </c>
      <c r="F113">
        <v>25</v>
      </c>
      <c r="H113">
        <v>37.5</v>
      </c>
      <c r="J113">
        <f t="shared" si="2"/>
        <v>7.75</v>
      </c>
      <c r="K113">
        <f t="shared" si="3"/>
        <v>-1.0821955300387671</v>
      </c>
      <c r="L113">
        <v>30035.65711</v>
      </c>
      <c r="O113">
        <v>0.99892784530000001</v>
      </c>
      <c r="Q113">
        <v>1.0721546869999999E-3</v>
      </c>
      <c r="U113">
        <v>64965.792670000003</v>
      </c>
      <c r="V113">
        <v>88898.017529999997</v>
      </c>
      <c r="AB113">
        <v>108893.2144</v>
      </c>
      <c r="AC113">
        <v>372989.93079999997</v>
      </c>
      <c r="AR113">
        <v>0.61956153380000001</v>
      </c>
      <c r="AU113">
        <v>0</v>
      </c>
      <c r="AV113">
        <v>0.78494809119999998</v>
      </c>
      <c r="AW113">
        <v>0</v>
      </c>
      <c r="AX113">
        <v>0.78494811369999995</v>
      </c>
      <c r="AY113">
        <v>-0.61956150529999998</v>
      </c>
      <c r="BV113">
        <v>0</v>
      </c>
      <c r="BW113">
        <v>-0.99853557589999997</v>
      </c>
      <c r="BY113">
        <v>5.4099016319999998E-2</v>
      </c>
      <c r="BZ113">
        <v>0</v>
      </c>
      <c r="CB113">
        <v>-5.409880559E-2</v>
      </c>
      <c r="CC113">
        <v>-0.99853558740000004</v>
      </c>
    </row>
    <row r="114" spans="1:85" x14ac:dyDescent="0.25">
      <c r="A114" t="s">
        <v>348</v>
      </c>
      <c r="B114" t="s">
        <v>349</v>
      </c>
      <c r="C114">
        <v>1000</v>
      </c>
      <c r="D114" t="s">
        <v>347</v>
      </c>
      <c r="E114">
        <v>25</v>
      </c>
      <c r="F114">
        <v>37.5</v>
      </c>
      <c r="H114">
        <v>37.5</v>
      </c>
      <c r="J114">
        <f t="shared" si="2"/>
        <v>7.375</v>
      </c>
      <c r="K114">
        <f t="shared" si="3"/>
        <v>-1.0821955300387671</v>
      </c>
      <c r="L114">
        <v>28771.445820000001</v>
      </c>
      <c r="O114">
        <v>0.74398290700000003</v>
      </c>
      <c r="Q114">
        <v>0.25601709299999997</v>
      </c>
      <c r="U114">
        <v>75881.792939999999</v>
      </c>
      <c r="V114">
        <v>105502.1617</v>
      </c>
      <c r="AB114">
        <v>49170.18995</v>
      </c>
      <c r="AC114">
        <v>758767.91469999996</v>
      </c>
      <c r="AR114">
        <v>0.37026925589999998</v>
      </c>
      <c r="AU114">
        <v>0</v>
      </c>
      <c r="AV114">
        <v>0.92892447389999999</v>
      </c>
      <c r="AW114">
        <v>0</v>
      </c>
      <c r="AX114">
        <v>0.92892447050000004</v>
      </c>
      <c r="AY114">
        <v>-0.37026926430000001</v>
      </c>
      <c r="BV114">
        <v>0</v>
      </c>
      <c r="BW114">
        <v>-0.99985076959999997</v>
      </c>
      <c r="BY114">
        <v>-1.727537115E-2</v>
      </c>
      <c r="BZ114">
        <v>0</v>
      </c>
      <c r="CB114">
        <v>1.7275002019999999E-2</v>
      </c>
      <c r="CC114">
        <v>-0.99985077600000005</v>
      </c>
    </row>
    <row r="115" spans="1:85" x14ac:dyDescent="0.25">
      <c r="A115" t="s">
        <v>350</v>
      </c>
      <c r="B115" t="s">
        <v>351</v>
      </c>
      <c r="C115">
        <v>1000</v>
      </c>
      <c r="D115" t="s">
        <v>294</v>
      </c>
      <c r="E115">
        <v>12.5</v>
      </c>
      <c r="F115">
        <v>50</v>
      </c>
      <c r="H115">
        <v>37.5</v>
      </c>
      <c r="J115">
        <f t="shared" si="2"/>
        <v>7</v>
      </c>
      <c r="K115">
        <f t="shared" si="3"/>
        <v>-0.97431475286934943</v>
      </c>
      <c r="L115">
        <v>32737.422589999998</v>
      </c>
      <c r="P115">
        <v>0.88560241129999995</v>
      </c>
      <c r="Q115">
        <v>0.1143975887</v>
      </c>
      <c r="W115">
        <v>47526.77925</v>
      </c>
      <c r="X115">
        <v>267036.85259999998</v>
      </c>
      <c r="AB115">
        <v>39561.931759999999</v>
      </c>
      <c r="AC115">
        <v>803048.4852</v>
      </c>
      <c r="AZ115">
        <v>0</v>
      </c>
      <c r="BA115">
        <v>-0.91725959410000002</v>
      </c>
      <c r="BB115">
        <v>0.39828989059999997</v>
      </c>
      <c r="BC115">
        <v>0</v>
      </c>
      <c r="BD115">
        <v>-0.39828988329999998</v>
      </c>
      <c r="BE115">
        <v>-0.91725959729999995</v>
      </c>
      <c r="BV115">
        <v>0</v>
      </c>
      <c r="BW115">
        <v>-0.99948180980000001</v>
      </c>
      <c r="BY115">
        <v>-3.2188690690000001E-2</v>
      </c>
      <c r="BZ115">
        <v>0</v>
      </c>
      <c r="CB115">
        <v>3.2188686959999997E-2</v>
      </c>
      <c r="CC115">
        <v>-0.99948181000000003</v>
      </c>
    </row>
    <row r="116" spans="1:85" x14ac:dyDescent="0.25">
      <c r="A116" t="s">
        <v>352</v>
      </c>
      <c r="B116" t="s">
        <v>353</v>
      </c>
      <c r="C116">
        <v>1000</v>
      </c>
      <c r="D116" t="s">
        <v>334</v>
      </c>
      <c r="F116">
        <v>62.5</v>
      </c>
      <c r="H116">
        <v>37.5</v>
      </c>
      <c r="J116">
        <f t="shared" si="2"/>
        <v>6.625</v>
      </c>
      <c r="K116">
        <f t="shared" si="3"/>
        <v>-0.66156323815798213</v>
      </c>
      <c r="L116">
        <v>30925.179530000001</v>
      </c>
      <c r="Q116">
        <v>1</v>
      </c>
      <c r="AB116">
        <v>32309.035169999999</v>
      </c>
      <c r="BV116">
        <v>0</v>
      </c>
      <c r="BW116">
        <v>1</v>
      </c>
    </row>
    <row r="117" spans="1:85" x14ac:dyDescent="0.25">
      <c r="A117" t="s">
        <v>354</v>
      </c>
      <c r="B117" t="s">
        <v>355</v>
      </c>
      <c r="C117">
        <v>1000</v>
      </c>
      <c r="D117" t="s">
        <v>111</v>
      </c>
      <c r="E117">
        <v>50</v>
      </c>
      <c r="G117">
        <v>12.5</v>
      </c>
      <c r="H117">
        <v>37.5</v>
      </c>
      <c r="J117">
        <f t="shared" si="2"/>
        <v>8.25</v>
      </c>
      <c r="K117">
        <f t="shared" si="3"/>
        <v>-0.97431475286934943</v>
      </c>
      <c r="L117">
        <v>35421.497779999998</v>
      </c>
      <c r="M117">
        <v>1</v>
      </c>
      <c r="R117">
        <v>52966.076130000001</v>
      </c>
      <c r="S117">
        <v>134302.36499999999</v>
      </c>
      <c r="AJ117">
        <v>0.85119874029999998</v>
      </c>
      <c r="AK117">
        <v>-0.52484350469999996</v>
      </c>
      <c r="AL117">
        <v>0.85119874129999995</v>
      </c>
      <c r="AN117">
        <v>0.52484350310000005</v>
      </c>
      <c r="AS117">
        <v>0</v>
      </c>
      <c r="AT117">
        <v>0</v>
      </c>
    </row>
    <row r="118" spans="1:85" x14ac:dyDescent="0.25">
      <c r="A118" t="s">
        <v>356</v>
      </c>
      <c r="B118" t="s">
        <v>357</v>
      </c>
      <c r="C118">
        <v>1000</v>
      </c>
      <c r="D118" t="s">
        <v>301</v>
      </c>
      <c r="E118">
        <v>37.5</v>
      </c>
      <c r="F118">
        <v>12.5</v>
      </c>
      <c r="G118">
        <v>12.5</v>
      </c>
      <c r="H118">
        <v>37.5</v>
      </c>
      <c r="J118">
        <f t="shared" si="2"/>
        <v>7.875</v>
      </c>
      <c r="K118">
        <f t="shared" si="3"/>
        <v>-1.2554823251787535</v>
      </c>
      <c r="L118">
        <v>32756.89057</v>
      </c>
      <c r="M118">
        <v>0.83371923150000005</v>
      </c>
      <c r="Q118">
        <v>0.16628076850000001</v>
      </c>
      <c r="R118">
        <v>52152.621019999999</v>
      </c>
      <c r="S118">
        <v>85549.738010000001</v>
      </c>
      <c r="Z118">
        <v>147582.9601</v>
      </c>
      <c r="AB118">
        <v>108048.79919999999</v>
      </c>
      <c r="AC118">
        <v>163392.35829999999</v>
      </c>
      <c r="AD118">
        <v>181969.7255</v>
      </c>
      <c r="AI118">
        <v>-0.1739750199</v>
      </c>
      <c r="AJ118">
        <v>0.86848890540000001</v>
      </c>
      <c r="AK118">
        <v>-0.46417638189999999</v>
      </c>
      <c r="AL118">
        <v>-0.30550265539999999</v>
      </c>
      <c r="AM118">
        <v>0.95179740339999996</v>
      </c>
      <c r="AN118">
        <v>2.7383032009999999E-2</v>
      </c>
      <c r="AS118">
        <v>0</v>
      </c>
      <c r="AT118">
        <v>0</v>
      </c>
      <c r="BK118">
        <v>0</v>
      </c>
      <c r="BL118">
        <v>0.83138945129999997</v>
      </c>
      <c r="BM118">
        <v>0.2526151022</v>
      </c>
      <c r="BN118">
        <v>0.49495170519999998</v>
      </c>
      <c r="BV118">
        <v>0</v>
      </c>
      <c r="BW118">
        <v>0.23086955449999999</v>
      </c>
      <c r="BX118">
        <v>-0.75760827730000002</v>
      </c>
      <c r="BY118">
        <v>-0.61051531270000003</v>
      </c>
      <c r="BZ118">
        <v>0</v>
      </c>
      <c r="CA118">
        <v>0.54920580750000003</v>
      </c>
      <c r="CB118">
        <v>0.73092299469999999</v>
      </c>
      <c r="CC118">
        <v>-0.40512289099999998</v>
      </c>
      <c r="CD118">
        <v>0</v>
      </c>
      <c r="CE118">
        <v>-0.35271143290000001</v>
      </c>
      <c r="CF118">
        <v>0.64222021760000003</v>
      </c>
      <c r="CG118">
        <v>0.68054965820000002</v>
      </c>
    </row>
    <row r="119" spans="1:85" x14ac:dyDescent="0.25">
      <c r="A119" t="s">
        <v>358</v>
      </c>
      <c r="B119" t="s">
        <v>359</v>
      </c>
      <c r="C119">
        <v>1000</v>
      </c>
      <c r="D119" t="s">
        <v>301</v>
      </c>
      <c r="E119">
        <v>25</v>
      </c>
      <c r="F119">
        <v>25</v>
      </c>
      <c r="G119">
        <v>12.5</v>
      </c>
      <c r="H119">
        <v>37.5</v>
      </c>
      <c r="J119">
        <f t="shared" si="2"/>
        <v>7.5</v>
      </c>
      <c r="K119">
        <f t="shared" si="3"/>
        <v>-1.3208883431493219</v>
      </c>
      <c r="L119">
        <v>31123.558270000001</v>
      </c>
      <c r="M119">
        <v>0.66371454929999996</v>
      </c>
      <c r="Q119">
        <v>0.33628545069999999</v>
      </c>
      <c r="R119">
        <v>52390.542659999999</v>
      </c>
      <c r="S119">
        <v>55796.672700000003</v>
      </c>
      <c r="Z119">
        <v>182087.61439999999</v>
      </c>
      <c r="AB119">
        <v>79575.3462</v>
      </c>
      <c r="AC119">
        <v>122250.68949999999</v>
      </c>
      <c r="AD119">
        <v>316886.59159999999</v>
      </c>
      <c r="AI119">
        <v>0.84248673659999995</v>
      </c>
      <c r="AJ119">
        <v>-0.53717925909999997</v>
      </c>
      <c r="AK119">
        <v>-4.0676065359999999E-2</v>
      </c>
      <c r="AL119">
        <v>0.58568674180000002</v>
      </c>
      <c r="AM119">
        <v>-0.41547176949999998</v>
      </c>
      <c r="AN119">
        <v>-0.69595563739999999</v>
      </c>
      <c r="AS119">
        <v>0</v>
      </c>
      <c r="AT119">
        <v>0</v>
      </c>
      <c r="BK119">
        <v>0</v>
      </c>
      <c r="BL119">
        <v>0.80951621259999995</v>
      </c>
      <c r="BM119">
        <v>0.3429275034</v>
      </c>
      <c r="BN119">
        <v>0.476533555</v>
      </c>
      <c r="BV119">
        <v>0</v>
      </c>
      <c r="BW119">
        <v>-0.98845797550000003</v>
      </c>
      <c r="BX119">
        <v>0.14678530479999999</v>
      </c>
      <c r="BY119">
        <v>3.7482061660000003E-2</v>
      </c>
      <c r="BZ119">
        <v>0</v>
      </c>
      <c r="CA119">
        <v>-0.97096765510000005</v>
      </c>
      <c r="CB119">
        <v>-0.15121587</v>
      </c>
      <c r="CC119">
        <v>-0.18535256520000001</v>
      </c>
      <c r="CD119">
        <v>0</v>
      </c>
      <c r="CE119">
        <v>0.18888171419999999</v>
      </c>
      <c r="CF119">
        <v>-9.1863115589999999E-3</v>
      </c>
      <c r="CG119">
        <v>-0.98195687769999995</v>
      </c>
    </row>
    <row r="120" spans="1:85" x14ac:dyDescent="0.25">
      <c r="A120" t="s">
        <v>360</v>
      </c>
      <c r="B120" t="s">
        <v>361</v>
      </c>
      <c r="C120">
        <v>1000</v>
      </c>
      <c r="D120" t="s">
        <v>362</v>
      </c>
      <c r="E120">
        <v>12.5</v>
      </c>
      <c r="F120">
        <v>37.5</v>
      </c>
      <c r="G120">
        <v>12.5</v>
      </c>
      <c r="H120">
        <v>37.5</v>
      </c>
      <c r="J120">
        <f t="shared" si="2"/>
        <v>7.125</v>
      </c>
      <c r="K120">
        <f t="shared" si="3"/>
        <v>-1.2554823251787535</v>
      </c>
      <c r="L120">
        <v>31281.279020000002</v>
      </c>
      <c r="M120">
        <v>0.4627443557</v>
      </c>
      <c r="Q120">
        <v>0.53725564429999995</v>
      </c>
      <c r="R120">
        <v>45896.611120000001</v>
      </c>
      <c r="S120">
        <v>61981.860710000001</v>
      </c>
      <c r="Z120">
        <v>230825.3866</v>
      </c>
      <c r="AB120">
        <v>48136.101690000003</v>
      </c>
      <c r="AC120">
        <v>107849.27099999999</v>
      </c>
      <c r="AD120">
        <v>529330.04579999996</v>
      </c>
      <c r="AI120">
        <v>-0.88660218570000005</v>
      </c>
      <c r="AJ120">
        <v>9.9777917820000006E-2</v>
      </c>
      <c r="AK120">
        <v>0.4516424818</v>
      </c>
      <c r="AL120">
        <v>-0.45168630510000002</v>
      </c>
      <c r="AM120">
        <v>-0.13076651219999999</v>
      </c>
      <c r="AN120">
        <v>0.88254155769999998</v>
      </c>
      <c r="AS120">
        <v>0</v>
      </c>
      <c r="AT120">
        <v>0</v>
      </c>
      <c r="BK120">
        <v>0</v>
      </c>
      <c r="BL120">
        <v>-0.76941657809999997</v>
      </c>
      <c r="BM120">
        <v>-0.44365965870000001</v>
      </c>
      <c r="BN120">
        <v>-0.45952609999999999</v>
      </c>
      <c r="BV120">
        <v>0</v>
      </c>
      <c r="BW120">
        <v>-0.99539476329999999</v>
      </c>
      <c r="BX120">
        <v>9.2305866929999994E-2</v>
      </c>
      <c r="BY120">
        <v>-2.5862948279999999E-2</v>
      </c>
      <c r="BZ120">
        <v>0</v>
      </c>
      <c r="CA120">
        <v>0.99067820679999996</v>
      </c>
      <c r="CB120">
        <v>8.9193255819999998E-2</v>
      </c>
      <c r="CC120">
        <v>0.1029623898</v>
      </c>
      <c r="CD120">
        <v>0</v>
      </c>
      <c r="CE120">
        <v>0.1001814211</v>
      </c>
      <c r="CF120">
        <v>3.5125891979999997E-2</v>
      </c>
      <c r="CG120">
        <v>-0.99434896019999996</v>
      </c>
    </row>
    <row r="121" spans="1:85" x14ac:dyDescent="0.25">
      <c r="A121" t="s">
        <v>363</v>
      </c>
      <c r="B121" t="s">
        <v>364</v>
      </c>
      <c r="C121">
        <v>1000</v>
      </c>
      <c r="D121" t="s">
        <v>334</v>
      </c>
      <c r="F121">
        <v>50</v>
      </c>
      <c r="G121">
        <v>12.5</v>
      </c>
      <c r="H121">
        <v>37.5</v>
      </c>
      <c r="J121">
        <f t="shared" si="2"/>
        <v>6.75</v>
      </c>
      <c r="K121">
        <f t="shared" si="3"/>
        <v>-0.97431475286934943</v>
      </c>
      <c r="L121">
        <v>32417.379000000001</v>
      </c>
      <c r="Q121">
        <v>1</v>
      </c>
      <c r="AB121">
        <v>36890.427710000004</v>
      </c>
      <c r="AC121">
        <v>103261.54270000001</v>
      </c>
      <c r="BV121">
        <v>0</v>
      </c>
      <c r="BW121">
        <v>-0.97539992880000004</v>
      </c>
      <c r="BX121">
        <v>0.22044268850000001</v>
      </c>
      <c r="BZ121">
        <v>0</v>
      </c>
      <c r="CA121">
        <v>-0.9753988401</v>
      </c>
      <c r="CB121">
        <v>-0.2204475055</v>
      </c>
    </row>
    <row r="122" spans="1:85" x14ac:dyDescent="0.25">
      <c r="A122" t="s">
        <v>365</v>
      </c>
      <c r="B122" t="s">
        <v>366</v>
      </c>
      <c r="C122">
        <v>1000</v>
      </c>
      <c r="D122" t="s">
        <v>301</v>
      </c>
      <c r="E122">
        <v>37.5</v>
      </c>
      <c r="G122">
        <v>25</v>
      </c>
      <c r="H122">
        <v>37.5</v>
      </c>
      <c r="J122">
        <f t="shared" si="2"/>
        <v>8</v>
      </c>
      <c r="K122">
        <f t="shared" si="3"/>
        <v>-1.0821955300387671</v>
      </c>
      <c r="L122">
        <v>36950.35151</v>
      </c>
      <c r="M122">
        <v>0.88050418929999996</v>
      </c>
      <c r="Q122">
        <v>0.1194958107</v>
      </c>
      <c r="R122">
        <v>34994.580430000002</v>
      </c>
      <c r="S122">
        <v>123863.07550000001</v>
      </c>
      <c r="AB122">
        <v>33244.473239999999</v>
      </c>
      <c r="AC122">
        <v>64981.702210000003</v>
      </c>
      <c r="AJ122">
        <v>0.70489171920000004</v>
      </c>
      <c r="AK122">
        <v>-0.7093149259</v>
      </c>
      <c r="AL122">
        <v>-0.70489172020000002</v>
      </c>
      <c r="AN122">
        <v>-0.70931492500000004</v>
      </c>
      <c r="AS122">
        <v>0</v>
      </c>
      <c r="AT122">
        <v>0</v>
      </c>
      <c r="BV122">
        <v>0</v>
      </c>
      <c r="BX122">
        <v>0.49908548229999999</v>
      </c>
      <c r="BY122">
        <v>0.86655275740000004</v>
      </c>
      <c r="BZ122">
        <v>0</v>
      </c>
      <c r="CA122">
        <v>0.8665526093</v>
      </c>
      <c r="CC122">
        <v>-0.49908573950000001</v>
      </c>
    </row>
    <row r="123" spans="1:85" x14ac:dyDescent="0.25">
      <c r="A123" t="s">
        <v>367</v>
      </c>
      <c r="B123" t="s">
        <v>368</v>
      </c>
      <c r="C123">
        <v>1000</v>
      </c>
      <c r="D123" t="s">
        <v>301</v>
      </c>
      <c r="E123">
        <v>25</v>
      </c>
      <c r="F123">
        <v>12.5</v>
      </c>
      <c r="G123">
        <v>25</v>
      </c>
      <c r="H123">
        <v>37.5</v>
      </c>
      <c r="J123">
        <f t="shared" si="2"/>
        <v>7.625</v>
      </c>
      <c r="K123">
        <f t="shared" si="3"/>
        <v>-1.3208883431493219</v>
      </c>
      <c r="L123">
        <v>34447.109279999997</v>
      </c>
      <c r="M123">
        <v>0.70100249589999997</v>
      </c>
      <c r="Q123">
        <v>0.29899750409999998</v>
      </c>
      <c r="R123">
        <v>38870.923300000002</v>
      </c>
      <c r="S123">
        <v>81426.791089999999</v>
      </c>
      <c r="Z123">
        <v>158164.71059999999</v>
      </c>
      <c r="AB123">
        <v>50846.927129999996</v>
      </c>
      <c r="AC123">
        <v>138601.27069999999</v>
      </c>
      <c r="AD123">
        <v>156731.1214</v>
      </c>
      <c r="AI123">
        <v>0.10918938</v>
      </c>
      <c r="AJ123">
        <v>0.71387629559999999</v>
      </c>
      <c r="AK123">
        <v>-0.69170681199999995</v>
      </c>
      <c r="AL123">
        <v>-0.30358986539999999</v>
      </c>
      <c r="AM123">
        <v>0.85295263779999997</v>
      </c>
      <c r="AN123">
        <v>-0.42462335220000003</v>
      </c>
      <c r="AS123">
        <v>0</v>
      </c>
      <c r="AT123">
        <v>0</v>
      </c>
      <c r="BK123">
        <v>0</v>
      </c>
      <c r="BL123">
        <v>-0.65526703279999998</v>
      </c>
      <c r="BM123">
        <v>-0.5104404682</v>
      </c>
      <c r="BN123">
        <v>-0.55684436270000004</v>
      </c>
      <c r="BV123">
        <v>0</v>
      </c>
      <c r="BW123">
        <v>7.6695162090000005E-2</v>
      </c>
      <c r="BX123">
        <v>-0.95469842360000001</v>
      </c>
      <c r="BY123">
        <v>-0.28752177670000001</v>
      </c>
      <c r="BZ123">
        <v>0</v>
      </c>
      <c r="CA123">
        <v>0.28467811630000001</v>
      </c>
      <c r="CB123">
        <v>0.51676640539999996</v>
      </c>
      <c r="CC123">
        <v>-0.80740996549999999</v>
      </c>
      <c r="CD123">
        <v>0</v>
      </c>
      <c r="CE123">
        <v>-8.6657630710000003E-2</v>
      </c>
      <c r="CF123">
        <v>0.85268330280000004</v>
      </c>
      <c r="CG123">
        <v>0.51519087750000003</v>
      </c>
    </row>
    <row r="124" spans="1:85" x14ac:dyDescent="0.25">
      <c r="A124" t="s">
        <v>369</v>
      </c>
      <c r="B124" t="s">
        <v>370</v>
      </c>
      <c r="C124">
        <v>1000</v>
      </c>
      <c r="D124" t="s">
        <v>362</v>
      </c>
      <c r="E124">
        <v>12.5</v>
      </c>
      <c r="F124">
        <v>25</v>
      </c>
      <c r="G124">
        <v>25</v>
      </c>
      <c r="H124">
        <v>37.5</v>
      </c>
      <c r="J124">
        <f t="shared" si="2"/>
        <v>7.25</v>
      </c>
      <c r="K124">
        <f t="shared" si="3"/>
        <v>-1.3208883431493219</v>
      </c>
      <c r="L124">
        <v>33654.098189999997</v>
      </c>
      <c r="M124">
        <v>0.48355222190000002</v>
      </c>
      <c r="Q124">
        <v>0.51644777809999998</v>
      </c>
      <c r="R124">
        <v>37752.861420000001</v>
      </c>
      <c r="S124">
        <v>63257.455280000002</v>
      </c>
      <c r="Z124">
        <v>191999.58780000001</v>
      </c>
      <c r="AB124">
        <v>49620.765509999997</v>
      </c>
      <c r="AC124">
        <v>71117.020269999994</v>
      </c>
      <c r="AD124">
        <v>318672.76329999999</v>
      </c>
      <c r="AI124">
        <v>-0.55960669110000005</v>
      </c>
      <c r="AJ124">
        <v>-0.42128131990000001</v>
      </c>
      <c r="AK124">
        <v>0.71369629450000005</v>
      </c>
      <c r="AL124">
        <v>-9.7358742839999998E-2</v>
      </c>
      <c r="AM124">
        <v>-0.67485333250000001</v>
      </c>
      <c r="AN124">
        <v>0.73150137029999995</v>
      </c>
      <c r="AS124">
        <v>0</v>
      </c>
      <c r="AT124">
        <v>0</v>
      </c>
      <c r="BK124">
        <v>0</v>
      </c>
      <c r="BL124">
        <v>0.69365616539999997</v>
      </c>
      <c r="BM124">
        <v>0.48105439449999998</v>
      </c>
      <c r="BN124">
        <v>0.53612292780000004</v>
      </c>
      <c r="BV124">
        <v>0</v>
      </c>
      <c r="BW124">
        <v>-0.34218086850000001</v>
      </c>
      <c r="BX124">
        <v>0.93426460010000001</v>
      </c>
      <c r="BY124">
        <v>0.1003090737</v>
      </c>
      <c r="BZ124">
        <v>0</v>
      </c>
      <c r="CA124">
        <v>0.33707347669999999</v>
      </c>
      <c r="CB124">
        <v>0.93925853609999999</v>
      </c>
      <c r="CC124">
        <v>6.4613262379999994E-2</v>
      </c>
      <c r="CD124">
        <v>0</v>
      </c>
      <c r="CE124">
        <v>-0.1163259214</v>
      </c>
      <c r="CF124">
        <v>-2.6554751889999999E-2</v>
      </c>
      <c r="CG124">
        <v>0.99285604449999998</v>
      </c>
    </row>
    <row r="125" spans="1:85" x14ac:dyDescent="0.25">
      <c r="A125" t="s">
        <v>371</v>
      </c>
      <c r="B125" t="s">
        <v>372</v>
      </c>
      <c r="C125">
        <v>1000</v>
      </c>
      <c r="D125" t="s">
        <v>334</v>
      </c>
      <c r="F125">
        <v>37.5</v>
      </c>
      <c r="G125">
        <v>25</v>
      </c>
      <c r="H125">
        <v>37.5</v>
      </c>
      <c r="J125">
        <f t="shared" si="2"/>
        <v>6.875</v>
      </c>
      <c r="K125">
        <f t="shared" si="3"/>
        <v>-1.0821955300387671</v>
      </c>
      <c r="L125">
        <v>34149.878239999998</v>
      </c>
      <c r="Q125">
        <v>1</v>
      </c>
      <c r="AB125">
        <v>37416.073060000002</v>
      </c>
      <c r="AC125">
        <v>70443.265090000001</v>
      </c>
      <c r="BV125">
        <v>0</v>
      </c>
      <c r="BW125">
        <v>-0.7758235631</v>
      </c>
      <c r="BX125">
        <v>0.630949918</v>
      </c>
      <c r="BZ125">
        <v>0</v>
      </c>
      <c r="CA125">
        <v>-0.77581973159999995</v>
      </c>
      <c r="CB125">
        <v>-0.63095462920000001</v>
      </c>
    </row>
    <row r="126" spans="1:85" x14ac:dyDescent="0.25">
      <c r="A126" t="s">
        <v>373</v>
      </c>
      <c r="B126" t="s">
        <v>374</v>
      </c>
      <c r="C126">
        <v>1000</v>
      </c>
      <c r="D126" t="s">
        <v>301</v>
      </c>
      <c r="E126">
        <v>25</v>
      </c>
      <c r="G126">
        <v>37.5</v>
      </c>
      <c r="H126">
        <v>37.5</v>
      </c>
      <c r="J126">
        <f t="shared" si="2"/>
        <v>7.75</v>
      </c>
      <c r="K126">
        <f t="shared" si="3"/>
        <v>-1.0821955300387671</v>
      </c>
      <c r="L126">
        <v>38373.436979999999</v>
      </c>
      <c r="M126">
        <v>0.66639025829999998</v>
      </c>
      <c r="Q126">
        <v>0.33360974170000002</v>
      </c>
      <c r="R126">
        <v>28519.219819999998</v>
      </c>
      <c r="S126">
        <v>136729.65220000001</v>
      </c>
      <c r="AB126">
        <v>37656.645239999998</v>
      </c>
      <c r="AC126">
        <v>58749.048459999998</v>
      </c>
      <c r="AJ126">
        <v>0.66869629630000005</v>
      </c>
      <c r="AK126">
        <v>-0.74353565040000003</v>
      </c>
      <c r="AL126">
        <v>-0.66869291939999997</v>
      </c>
      <c r="AN126">
        <v>-0.74353868729999995</v>
      </c>
      <c r="AS126">
        <v>0</v>
      </c>
      <c r="AT126">
        <v>0</v>
      </c>
      <c r="BV126">
        <v>0</v>
      </c>
      <c r="BX126">
        <v>-0.96436133280000003</v>
      </c>
      <c r="BY126">
        <v>-0.26458877489999999</v>
      </c>
      <c r="BZ126">
        <v>0</v>
      </c>
      <c r="CA126">
        <v>0.26457777669999999</v>
      </c>
      <c r="CC126">
        <v>-0.96436435030000001</v>
      </c>
    </row>
    <row r="127" spans="1:85" x14ac:dyDescent="0.25">
      <c r="A127" t="s">
        <v>375</v>
      </c>
      <c r="B127" t="s">
        <v>376</v>
      </c>
      <c r="C127">
        <v>1000</v>
      </c>
      <c r="D127" t="s">
        <v>362</v>
      </c>
      <c r="E127">
        <v>12.5</v>
      </c>
      <c r="F127">
        <v>12.5</v>
      </c>
      <c r="G127">
        <v>37.5</v>
      </c>
      <c r="H127">
        <v>37.5</v>
      </c>
      <c r="J127">
        <f t="shared" si="2"/>
        <v>7.375</v>
      </c>
      <c r="K127">
        <f t="shared" si="3"/>
        <v>-1.2554823251787535</v>
      </c>
      <c r="L127">
        <v>36590.806170000003</v>
      </c>
      <c r="M127">
        <v>0.46497981719999998</v>
      </c>
      <c r="Q127">
        <v>0.53502018279999997</v>
      </c>
      <c r="R127">
        <v>33400.273359999999</v>
      </c>
      <c r="S127">
        <v>84610.811780000004</v>
      </c>
      <c r="Z127">
        <v>187533.39939999999</v>
      </c>
      <c r="AB127">
        <v>35557.498050000002</v>
      </c>
      <c r="AC127">
        <v>125585.15850000001</v>
      </c>
      <c r="AD127">
        <v>170660.18239999999</v>
      </c>
      <c r="AI127">
        <v>0.28577980310000001</v>
      </c>
      <c r="AJ127">
        <v>0.56673514260000002</v>
      </c>
      <c r="AK127">
        <v>-0.77274910689999998</v>
      </c>
      <c r="AL127">
        <v>0.16541964170000001</v>
      </c>
      <c r="AM127">
        <v>-0.77136536619999996</v>
      </c>
      <c r="AN127">
        <v>0.61451754569999995</v>
      </c>
      <c r="AS127">
        <v>0</v>
      </c>
      <c r="AT127">
        <v>0</v>
      </c>
      <c r="BK127">
        <v>0</v>
      </c>
      <c r="BL127">
        <v>-0.61277274839999996</v>
      </c>
      <c r="BM127">
        <v>-0.56861942539999999</v>
      </c>
      <c r="BN127">
        <v>-0.54880006179999996</v>
      </c>
      <c r="BV127">
        <v>0</v>
      </c>
      <c r="BW127">
        <v>0.11369909189999999</v>
      </c>
      <c r="BX127">
        <v>-0.98585635189999998</v>
      </c>
      <c r="BY127">
        <v>-0.1231250171</v>
      </c>
      <c r="BZ127">
        <v>0</v>
      </c>
      <c r="CA127">
        <v>-0.12142621939999999</v>
      </c>
      <c r="CB127">
        <v>-0.99095222760000001</v>
      </c>
      <c r="CC127">
        <v>5.7178280669999998E-2</v>
      </c>
      <c r="CD127">
        <v>0</v>
      </c>
      <c r="CE127">
        <v>0.1155085404</v>
      </c>
      <c r="CF127">
        <v>-7.1324125789999998E-2</v>
      </c>
      <c r="CG127">
        <v>-0.9907424722</v>
      </c>
    </row>
    <row r="128" spans="1:85" x14ac:dyDescent="0.25">
      <c r="A128" t="s">
        <v>377</v>
      </c>
      <c r="B128" t="s">
        <v>378</v>
      </c>
      <c r="C128">
        <v>1000</v>
      </c>
      <c r="D128" t="s">
        <v>334</v>
      </c>
      <c r="F128">
        <v>25</v>
      </c>
      <c r="G128">
        <v>37.5</v>
      </c>
      <c r="H128">
        <v>37.5</v>
      </c>
      <c r="J128">
        <f t="shared" si="2"/>
        <v>7</v>
      </c>
      <c r="K128">
        <f t="shared" si="3"/>
        <v>-1.0821955300387671</v>
      </c>
      <c r="L128">
        <v>36075.146659999999</v>
      </c>
      <c r="Q128">
        <v>1</v>
      </c>
      <c r="AB128">
        <v>33638.452360000003</v>
      </c>
      <c r="AC128">
        <v>78421.549509999997</v>
      </c>
      <c r="BV128">
        <v>0</v>
      </c>
      <c r="BW128">
        <v>-0.47254704050000002</v>
      </c>
      <c r="BX128">
        <v>0.88130544909999997</v>
      </c>
      <c r="BZ128">
        <v>0</v>
      </c>
      <c r="CA128">
        <v>0.47253446490000001</v>
      </c>
      <c r="CB128">
        <v>0.88131219189999999</v>
      </c>
    </row>
    <row r="129" spans="1:85" x14ac:dyDescent="0.25">
      <c r="A129" t="s">
        <v>379</v>
      </c>
      <c r="B129" t="s">
        <v>380</v>
      </c>
      <c r="C129">
        <v>1000</v>
      </c>
      <c r="D129" t="s">
        <v>362</v>
      </c>
      <c r="E129">
        <v>12.5</v>
      </c>
      <c r="G129">
        <v>50</v>
      </c>
      <c r="H129">
        <v>37.5</v>
      </c>
      <c r="J129">
        <f t="shared" si="2"/>
        <v>7.5</v>
      </c>
      <c r="K129">
        <f t="shared" si="3"/>
        <v>-0.97431475286934943</v>
      </c>
      <c r="L129">
        <v>39837.335500000001</v>
      </c>
      <c r="M129">
        <v>0.2627777301</v>
      </c>
      <c r="Q129">
        <v>0.73722226989999995</v>
      </c>
      <c r="R129">
        <v>29677.395759999999</v>
      </c>
      <c r="S129">
        <v>158780.32149999999</v>
      </c>
      <c r="AB129">
        <v>35494.685740000001</v>
      </c>
      <c r="AC129">
        <v>97525.396930000003</v>
      </c>
      <c r="AJ129">
        <v>0.64131368470000005</v>
      </c>
      <c r="AK129">
        <v>-0.76727880059999998</v>
      </c>
      <c r="AL129">
        <v>-0.64131368499999997</v>
      </c>
      <c r="AN129">
        <v>-0.76727880029999995</v>
      </c>
      <c r="AS129">
        <v>0</v>
      </c>
      <c r="AT129">
        <v>0</v>
      </c>
      <c r="BV129">
        <v>0</v>
      </c>
      <c r="BX129">
        <v>-0.99637963149999997</v>
      </c>
      <c r="BY129">
        <v>8.5015469359999998E-2</v>
      </c>
      <c r="BZ129">
        <v>0</v>
      </c>
      <c r="CA129">
        <v>-8.5013630000000007E-2</v>
      </c>
      <c r="CC129">
        <v>-0.99637978839999997</v>
      </c>
    </row>
    <row r="130" spans="1:85" x14ac:dyDescent="0.25">
      <c r="A130" t="s">
        <v>381</v>
      </c>
      <c r="B130" t="s">
        <v>382</v>
      </c>
      <c r="C130">
        <v>1000</v>
      </c>
      <c r="D130" t="s">
        <v>334</v>
      </c>
      <c r="F130">
        <v>12.5</v>
      </c>
      <c r="G130">
        <v>50</v>
      </c>
      <c r="H130">
        <v>37.5</v>
      </c>
      <c r="J130">
        <f t="shared" si="2"/>
        <v>7.125</v>
      </c>
      <c r="K130">
        <f t="shared" si="3"/>
        <v>-0.97431475286934943</v>
      </c>
      <c r="L130">
        <v>38127.505069999999</v>
      </c>
      <c r="Q130">
        <v>1</v>
      </c>
      <c r="AB130">
        <v>31262.71443</v>
      </c>
      <c r="AC130">
        <v>120512.6931</v>
      </c>
      <c r="BV130">
        <v>0</v>
      </c>
      <c r="BW130">
        <v>-0.256339977</v>
      </c>
      <c r="BX130">
        <v>0.96658668319999996</v>
      </c>
      <c r="BZ130">
        <v>0</v>
      </c>
      <c r="CA130">
        <v>0.2563378315</v>
      </c>
      <c r="CB130">
        <v>0.96658725219999997</v>
      </c>
    </row>
    <row r="131" spans="1:85" x14ac:dyDescent="0.25">
      <c r="A131" t="s">
        <v>383</v>
      </c>
      <c r="B131" t="s">
        <v>384</v>
      </c>
      <c r="C131">
        <v>1000</v>
      </c>
      <c r="D131" t="s">
        <v>334</v>
      </c>
      <c r="G131">
        <v>62.5</v>
      </c>
      <c r="H131">
        <v>37.5</v>
      </c>
      <c r="J131">
        <f t="shared" ref="J131:J194" si="4">((10*E131)/100)+((7*F131)/100)+((8*G131)/100)+((6*H131)/100)+((9*I131)/100)</f>
        <v>7.25</v>
      </c>
      <c r="K131">
        <f t="shared" ref="K131:K194" si="5">IF(ISBLANK(E131)=TRUE,0,(E131/100)*LN(E131/100))+IF(ISBLANK(F131)=TRUE,0,(F131/100)*LN(F131/100))+IF(ISBLANK(G131)=TRUE,0,(G131/100)*LN(G131/100))+IF(ISBLANK(H131)=TRUE,0,(H131/100)*LN(H131/100))+IF(ISBLANK(I131)=TRUE,0,(I131/100)*LN(I131/100))</f>
        <v>-0.66156323815798213</v>
      </c>
      <c r="L131">
        <v>40068.609669999998</v>
      </c>
      <c r="Q131">
        <v>1</v>
      </c>
      <c r="AB131">
        <v>32758.251909999999</v>
      </c>
      <c r="BV131">
        <v>0</v>
      </c>
      <c r="BX131">
        <v>1</v>
      </c>
    </row>
    <row r="132" spans="1:85" x14ac:dyDescent="0.25">
      <c r="A132" t="s">
        <v>385</v>
      </c>
      <c r="B132" t="s">
        <v>386</v>
      </c>
      <c r="C132">
        <v>1000</v>
      </c>
      <c r="D132" t="s">
        <v>301</v>
      </c>
      <c r="E132">
        <v>50</v>
      </c>
      <c r="H132">
        <v>50</v>
      </c>
      <c r="J132">
        <f t="shared" si="4"/>
        <v>8</v>
      </c>
      <c r="K132">
        <f t="shared" si="5"/>
        <v>-0.69314718055994529</v>
      </c>
      <c r="L132">
        <v>34018.765959999997</v>
      </c>
      <c r="M132">
        <v>0.89864814699999995</v>
      </c>
      <c r="Q132">
        <v>0.10135185300000001</v>
      </c>
      <c r="R132">
        <v>67102.006240000002</v>
      </c>
      <c r="AB132">
        <v>93883.939150000006</v>
      </c>
      <c r="AJ132">
        <v>1</v>
      </c>
      <c r="AS132">
        <v>0</v>
      </c>
      <c r="BV132">
        <v>0</v>
      </c>
      <c r="BY132">
        <v>1</v>
      </c>
    </row>
    <row r="133" spans="1:85" x14ac:dyDescent="0.25">
      <c r="A133" t="s">
        <v>387</v>
      </c>
      <c r="B133" t="s">
        <v>388</v>
      </c>
      <c r="C133">
        <v>1000</v>
      </c>
      <c r="D133" t="s">
        <v>389</v>
      </c>
      <c r="E133">
        <v>37.5</v>
      </c>
      <c r="F133">
        <v>12.5</v>
      </c>
      <c r="H133">
        <v>50</v>
      </c>
      <c r="J133">
        <f t="shared" si="4"/>
        <v>7.625</v>
      </c>
      <c r="K133">
        <f t="shared" si="5"/>
        <v>-0.97431475286934943</v>
      </c>
      <c r="L133">
        <v>31479.885709999999</v>
      </c>
      <c r="M133">
        <v>3.9248261829999999E-2</v>
      </c>
      <c r="O133">
        <v>0.86707239660000002</v>
      </c>
      <c r="Q133">
        <v>9.3679341590000006E-2</v>
      </c>
      <c r="R133">
        <v>66698.385750000001</v>
      </c>
      <c r="S133">
        <v>130457.73579999999</v>
      </c>
      <c r="U133">
        <v>65406.694380000001</v>
      </c>
      <c r="V133">
        <v>109630.4448</v>
      </c>
      <c r="AB133">
        <v>150544.27979999999</v>
      </c>
      <c r="AC133">
        <v>248460.09020000001</v>
      </c>
      <c r="AI133">
        <v>-0.1085787672</v>
      </c>
      <c r="AJ133">
        <v>0.99408784890000002</v>
      </c>
      <c r="AM133">
        <v>0.99408784809999995</v>
      </c>
      <c r="AN133">
        <v>0.108578774</v>
      </c>
      <c r="AR133">
        <v>0.2172859892</v>
      </c>
      <c r="AS133">
        <v>0</v>
      </c>
      <c r="AT133">
        <v>0</v>
      </c>
      <c r="AU133">
        <v>0</v>
      </c>
      <c r="AV133">
        <v>0.97610798529999998</v>
      </c>
      <c r="AW133">
        <v>0</v>
      </c>
      <c r="AX133">
        <v>0.97610799010000004</v>
      </c>
      <c r="AY133">
        <v>-0.2172859674</v>
      </c>
      <c r="BV133">
        <v>0</v>
      </c>
      <c r="BW133">
        <v>-0.2480481336</v>
      </c>
      <c r="BY133">
        <v>0.96874770889999995</v>
      </c>
      <c r="BZ133">
        <v>0</v>
      </c>
      <c r="CB133">
        <v>0.96874763919999995</v>
      </c>
      <c r="CC133">
        <v>0.24804840580000001</v>
      </c>
    </row>
    <row r="134" spans="1:85" x14ac:dyDescent="0.25">
      <c r="A134" t="s">
        <v>390</v>
      </c>
      <c r="B134" t="s">
        <v>391</v>
      </c>
      <c r="C134">
        <v>1000</v>
      </c>
      <c r="D134" t="s">
        <v>347</v>
      </c>
      <c r="E134">
        <v>25</v>
      </c>
      <c r="F134">
        <v>25</v>
      </c>
      <c r="H134">
        <v>50</v>
      </c>
      <c r="J134">
        <f t="shared" si="4"/>
        <v>7.25</v>
      </c>
      <c r="K134">
        <f t="shared" si="5"/>
        <v>-1.0397207708399179</v>
      </c>
      <c r="L134">
        <v>29010.336060000001</v>
      </c>
      <c r="O134">
        <v>0.67434210299999997</v>
      </c>
      <c r="Q134">
        <v>0.32565789699999997</v>
      </c>
      <c r="U134">
        <v>67481.078320000001</v>
      </c>
      <c r="V134">
        <v>91685.16635</v>
      </c>
      <c r="AB134">
        <v>85682.567850000007</v>
      </c>
      <c r="AC134">
        <v>496116.10489999998</v>
      </c>
      <c r="AR134">
        <v>0.63196446390000005</v>
      </c>
      <c r="AU134">
        <v>0</v>
      </c>
      <c r="AV134">
        <v>0.77499736539999997</v>
      </c>
      <c r="AW134">
        <v>0</v>
      </c>
      <c r="AX134">
        <v>0.77499739050000005</v>
      </c>
      <c r="AY134">
        <v>-0.63196443309999994</v>
      </c>
      <c r="BV134">
        <v>0</v>
      </c>
      <c r="BW134">
        <v>-0.99976272939999999</v>
      </c>
      <c r="BY134">
        <v>2.178267469E-2</v>
      </c>
      <c r="BZ134">
        <v>0</v>
      </c>
      <c r="CB134">
        <v>-2.178242008E-2</v>
      </c>
      <c r="CC134">
        <v>-0.99976273490000001</v>
      </c>
    </row>
    <row r="135" spans="1:85" x14ac:dyDescent="0.25">
      <c r="A135" t="s">
        <v>392</v>
      </c>
      <c r="B135" t="s">
        <v>393</v>
      </c>
      <c r="C135">
        <v>1000</v>
      </c>
      <c r="D135" t="s">
        <v>394</v>
      </c>
      <c r="E135">
        <v>12.5</v>
      </c>
      <c r="F135">
        <v>37.5</v>
      </c>
      <c r="H135">
        <v>50</v>
      </c>
      <c r="J135">
        <f t="shared" si="4"/>
        <v>6.875</v>
      </c>
      <c r="K135">
        <f t="shared" si="5"/>
        <v>-0.97431475286934943</v>
      </c>
      <c r="L135">
        <v>28310.231090000001</v>
      </c>
      <c r="O135">
        <v>0.355739474</v>
      </c>
      <c r="P135">
        <v>3.3978246900000001E-3</v>
      </c>
      <c r="Q135">
        <v>0.64086270140000001</v>
      </c>
      <c r="U135">
        <v>77452.247510000001</v>
      </c>
      <c r="V135">
        <v>110286.4336</v>
      </c>
      <c r="W135">
        <v>49365.911749999999</v>
      </c>
      <c r="X135">
        <v>262814.18190000003</v>
      </c>
      <c r="AB135">
        <v>43679.819430000003</v>
      </c>
      <c r="AC135">
        <v>740661.09730000002</v>
      </c>
      <c r="AR135">
        <v>0.28112487679999998</v>
      </c>
      <c r="AU135">
        <v>0</v>
      </c>
      <c r="AV135">
        <v>0.95967119560000003</v>
      </c>
      <c r="AW135">
        <v>0</v>
      </c>
      <c r="AX135">
        <v>0.95967118839999999</v>
      </c>
      <c r="AY135">
        <v>-0.28112490130000001</v>
      </c>
      <c r="AZ135">
        <v>0</v>
      </c>
      <c r="BA135">
        <v>-0.9209945343</v>
      </c>
      <c r="BB135">
        <v>0.38957549699999999</v>
      </c>
      <c r="BC135">
        <v>0</v>
      </c>
      <c r="BD135">
        <v>-0.38957548809999998</v>
      </c>
      <c r="BE135">
        <v>-0.92099453799999997</v>
      </c>
      <c r="BV135">
        <v>0</v>
      </c>
      <c r="BW135">
        <v>-0.99964392769999999</v>
      </c>
      <c r="BY135">
        <v>-2.6683660120000001E-2</v>
      </c>
      <c r="BZ135">
        <v>0</v>
      </c>
      <c r="CB135">
        <v>2.6683655899999999E-2</v>
      </c>
      <c r="CC135">
        <v>-0.99964392790000001</v>
      </c>
    </row>
    <row r="136" spans="1:85" x14ac:dyDescent="0.25">
      <c r="A136" t="s">
        <v>395</v>
      </c>
      <c r="B136" t="s">
        <v>396</v>
      </c>
      <c r="C136">
        <v>1000</v>
      </c>
      <c r="D136" t="s">
        <v>334</v>
      </c>
      <c r="F136">
        <v>50</v>
      </c>
      <c r="H136">
        <v>50</v>
      </c>
      <c r="J136">
        <f t="shared" si="4"/>
        <v>6.5</v>
      </c>
      <c r="K136">
        <f t="shared" si="5"/>
        <v>-0.69314718055994529</v>
      </c>
      <c r="L136">
        <v>28784.08639</v>
      </c>
      <c r="Q136">
        <v>1</v>
      </c>
      <c r="AB136">
        <v>35113.116410000002</v>
      </c>
      <c r="BV136">
        <v>0</v>
      </c>
      <c r="BW136">
        <v>1</v>
      </c>
    </row>
    <row r="137" spans="1:85" x14ac:dyDescent="0.25">
      <c r="A137" t="s">
        <v>397</v>
      </c>
      <c r="B137" t="s">
        <v>398</v>
      </c>
      <c r="C137">
        <v>1000</v>
      </c>
      <c r="D137" t="s">
        <v>301</v>
      </c>
      <c r="E137">
        <v>37.5</v>
      </c>
      <c r="G137">
        <v>12.5</v>
      </c>
      <c r="H137">
        <v>50</v>
      </c>
      <c r="J137">
        <f t="shared" si="4"/>
        <v>7.75</v>
      </c>
      <c r="K137">
        <f t="shared" si="5"/>
        <v>-0.97431475286934943</v>
      </c>
      <c r="L137">
        <v>35594.039620000003</v>
      </c>
      <c r="M137">
        <v>0.72603493669999997</v>
      </c>
      <c r="Q137">
        <v>0.27396506329999998</v>
      </c>
      <c r="R137">
        <v>51124.441180000002</v>
      </c>
      <c r="S137">
        <v>128779.7114</v>
      </c>
      <c r="AB137">
        <v>43635.414830000002</v>
      </c>
      <c r="AC137">
        <v>116983.2032</v>
      </c>
      <c r="AJ137">
        <v>0.84218384599999996</v>
      </c>
      <c r="AK137">
        <v>-0.53919047610000004</v>
      </c>
      <c r="AL137">
        <v>0.84218384710000005</v>
      </c>
      <c r="AN137">
        <v>0.53919047450000002</v>
      </c>
      <c r="AS137">
        <v>0</v>
      </c>
      <c r="AT137">
        <v>0</v>
      </c>
      <c r="BV137">
        <v>0</v>
      </c>
      <c r="BX137">
        <v>0.30169005170000002</v>
      </c>
      <c r="BY137">
        <v>0.95340605869999995</v>
      </c>
      <c r="BZ137">
        <v>0</v>
      </c>
      <c r="CA137">
        <v>0.95340619380000002</v>
      </c>
      <c r="CC137">
        <v>-0.3016896248</v>
      </c>
    </row>
    <row r="138" spans="1:85" x14ac:dyDescent="0.25">
      <c r="A138" t="s">
        <v>399</v>
      </c>
      <c r="B138" t="s">
        <v>400</v>
      </c>
      <c r="C138">
        <v>1000</v>
      </c>
      <c r="D138" t="s">
        <v>362</v>
      </c>
      <c r="E138">
        <v>25</v>
      </c>
      <c r="F138">
        <v>12.5</v>
      </c>
      <c r="G138">
        <v>12.5</v>
      </c>
      <c r="H138">
        <v>50</v>
      </c>
      <c r="J138">
        <f t="shared" si="4"/>
        <v>7.375</v>
      </c>
      <c r="K138">
        <f t="shared" si="5"/>
        <v>-1.2130075659799042</v>
      </c>
      <c r="L138">
        <v>32411.533670000001</v>
      </c>
      <c r="M138">
        <v>0.55047663520000001</v>
      </c>
      <c r="Q138">
        <v>0.44952336479999999</v>
      </c>
      <c r="R138">
        <v>50684.309000000001</v>
      </c>
      <c r="S138">
        <v>75517.445500000002</v>
      </c>
      <c r="Z138">
        <v>149436.02859999999</v>
      </c>
      <c r="AB138">
        <v>102022.18</v>
      </c>
      <c r="AC138">
        <v>144911.4246</v>
      </c>
      <c r="AD138">
        <v>185279.92439999999</v>
      </c>
      <c r="AI138">
        <v>-0.1495549387</v>
      </c>
      <c r="AJ138">
        <v>0.85528359710000001</v>
      </c>
      <c r="AK138">
        <v>-0.4961081423</v>
      </c>
      <c r="AL138">
        <v>-0.32754714880000002</v>
      </c>
      <c r="AM138">
        <v>0.94450832439999999</v>
      </c>
      <c r="AN138">
        <v>-2.483727916E-2</v>
      </c>
      <c r="AS138">
        <v>0</v>
      </c>
      <c r="AT138">
        <v>0</v>
      </c>
      <c r="BK138">
        <v>0</v>
      </c>
      <c r="BL138">
        <v>-0.80410794190000001</v>
      </c>
      <c r="BM138">
        <v>-0.29246767350000002</v>
      </c>
      <c r="BN138">
        <v>-0.51756456390000005</v>
      </c>
      <c r="BV138">
        <v>0</v>
      </c>
      <c r="BW138">
        <v>0.255141273</v>
      </c>
      <c r="BX138">
        <v>-0.85456286150000005</v>
      </c>
      <c r="BY138">
        <v>-0.45235522169999998</v>
      </c>
      <c r="BZ138">
        <v>0</v>
      </c>
      <c r="CA138">
        <v>0.33765323190000002</v>
      </c>
      <c r="CB138">
        <v>0.93474432959999998</v>
      </c>
      <c r="CC138">
        <v>-0.11064959639999999</v>
      </c>
      <c r="CD138">
        <v>0</v>
      </c>
      <c r="CE138">
        <v>0.39460638879999999</v>
      </c>
      <c r="CF138">
        <v>-0.24729440129999999</v>
      </c>
      <c r="CG138">
        <v>-0.88494704759999998</v>
      </c>
    </row>
    <row r="139" spans="1:85" x14ac:dyDescent="0.25">
      <c r="A139" t="s">
        <v>401</v>
      </c>
      <c r="B139" t="s">
        <v>402</v>
      </c>
      <c r="C139">
        <v>1000</v>
      </c>
      <c r="D139" t="s">
        <v>362</v>
      </c>
      <c r="E139">
        <v>12.5</v>
      </c>
      <c r="F139">
        <v>25</v>
      </c>
      <c r="G139">
        <v>12.5</v>
      </c>
      <c r="H139">
        <v>50</v>
      </c>
      <c r="J139">
        <f t="shared" si="4"/>
        <v>7</v>
      </c>
      <c r="K139">
        <f t="shared" si="5"/>
        <v>-1.2130075659799042</v>
      </c>
      <c r="L139">
        <v>31108.834040000002</v>
      </c>
      <c r="M139">
        <v>0.34575282390000001</v>
      </c>
      <c r="Q139">
        <v>0.65424717610000005</v>
      </c>
      <c r="R139">
        <v>49520.048640000001</v>
      </c>
      <c r="S139">
        <v>55069.523079999999</v>
      </c>
      <c r="Z139">
        <v>194382.4296</v>
      </c>
      <c r="AB139">
        <v>66809.662469999996</v>
      </c>
      <c r="AC139">
        <v>103878.78539999999</v>
      </c>
      <c r="AD139">
        <v>373729.20929999999</v>
      </c>
      <c r="AI139">
        <v>0.87101294890000003</v>
      </c>
      <c r="AJ139">
        <v>6.4876602950000001E-2</v>
      </c>
      <c r="AK139">
        <v>-0.48695735870000001</v>
      </c>
      <c r="AL139">
        <v>0.39684118629999998</v>
      </c>
      <c r="AM139">
        <v>0.2868068795</v>
      </c>
      <c r="AN139">
        <v>-0.87192825780000005</v>
      </c>
      <c r="AS139">
        <v>0</v>
      </c>
      <c r="AT139">
        <v>0</v>
      </c>
      <c r="BK139">
        <v>0</v>
      </c>
      <c r="BL139">
        <v>0.77806786049999999</v>
      </c>
      <c r="BM139">
        <v>0.39884617010000001</v>
      </c>
      <c r="BN139">
        <v>0.48531653279999998</v>
      </c>
      <c r="BV139">
        <v>0</v>
      </c>
      <c r="BW139">
        <v>-0.98831483440000001</v>
      </c>
      <c r="BX139">
        <v>0.1520706785</v>
      </c>
      <c r="BY139">
        <v>1.040657976E-2</v>
      </c>
      <c r="BZ139">
        <v>0</v>
      </c>
      <c r="CA139">
        <v>-0.97830102910000005</v>
      </c>
      <c r="CB139">
        <v>-0.15201168030000001</v>
      </c>
      <c r="CC139">
        <v>-0.14078190739999999</v>
      </c>
      <c r="CD139">
        <v>0</v>
      </c>
      <c r="CE139">
        <v>0.14071929959999999</v>
      </c>
      <c r="CF139">
        <v>1.1228511470000001E-2</v>
      </c>
      <c r="CG139">
        <v>-0.98998585809999995</v>
      </c>
    </row>
    <row r="140" spans="1:85" x14ac:dyDescent="0.25">
      <c r="A140" t="s">
        <v>403</v>
      </c>
      <c r="B140" t="s">
        <v>404</v>
      </c>
      <c r="C140">
        <v>1000</v>
      </c>
      <c r="D140" t="s">
        <v>334</v>
      </c>
      <c r="F140">
        <v>37.5</v>
      </c>
      <c r="G140">
        <v>12.5</v>
      </c>
      <c r="H140">
        <v>50</v>
      </c>
      <c r="J140">
        <f t="shared" si="4"/>
        <v>6.625</v>
      </c>
      <c r="K140">
        <f t="shared" si="5"/>
        <v>-0.97431475286934943</v>
      </c>
      <c r="L140">
        <v>31046.209220000001</v>
      </c>
      <c r="Q140">
        <v>1</v>
      </c>
      <c r="AB140">
        <v>43465.244229999997</v>
      </c>
      <c r="AC140">
        <v>95278.578250000006</v>
      </c>
      <c r="BV140">
        <v>0</v>
      </c>
      <c r="BW140">
        <v>-0.98359090719999998</v>
      </c>
      <c r="BX140">
        <v>0.18041321260000001</v>
      </c>
      <c r="BZ140">
        <v>0</v>
      </c>
      <c r="CA140">
        <v>-0.98358976350000005</v>
      </c>
      <c r="CB140">
        <v>-0.1804194479</v>
      </c>
    </row>
    <row r="141" spans="1:85" x14ac:dyDescent="0.25">
      <c r="A141" t="s">
        <v>405</v>
      </c>
      <c r="B141" t="s">
        <v>406</v>
      </c>
      <c r="C141">
        <v>1000</v>
      </c>
      <c r="D141" t="s">
        <v>362</v>
      </c>
      <c r="E141">
        <v>25</v>
      </c>
      <c r="G141">
        <v>25</v>
      </c>
      <c r="H141">
        <v>50</v>
      </c>
      <c r="J141">
        <f t="shared" si="4"/>
        <v>7.5</v>
      </c>
      <c r="K141">
        <f t="shared" si="5"/>
        <v>-1.0397207708399179</v>
      </c>
      <c r="L141">
        <v>37567.88622</v>
      </c>
      <c r="M141">
        <v>0.48051224399999998</v>
      </c>
      <c r="Q141">
        <v>0.51948775599999997</v>
      </c>
      <c r="R141">
        <v>33687.859429999997</v>
      </c>
      <c r="S141">
        <v>125027.44409999999</v>
      </c>
      <c r="AB141">
        <v>33822.81422</v>
      </c>
      <c r="AC141">
        <v>61677.670619999997</v>
      </c>
      <c r="AJ141">
        <v>0.69726124810000001</v>
      </c>
      <c r="AK141">
        <v>-0.71681709800000004</v>
      </c>
      <c r="AL141">
        <v>-0.69726124889999996</v>
      </c>
      <c r="AN141">
        <v>-0.71681709709999997</v>
      </c>
      <c r="AS141">
        <v>0</v>
      </c>
      <c r="AT141">
        <v>0</v>
      </c>
      <c r="BV141">
        <v>0</v>
      </c>
      <c r="BX141">
        <v>0.54060963949999996</v>
      </c>
      <c r="BY141">
        <v>0.84127356890000005</v>
      </c>
      <c r="BZ141">
        <v>0</v>
      </c>
      <c r="CA141">
        <v>0.84127330310000004</v>
      </c>
      <c r="CC141">
        <v>-0.54061005309999999</v>
      </c>
    </row>
    <row r="142" spans="1:85" x14ac:dyDescent="0.25">
      <c r="A142" t="s">
        <v>407</v>
      </c>
      <c r="B142" t="s">
        <v>408</v>
      </c>
      <c r="C142">
        <v>1000</v>
      </c>
      <c r="D142" t="s">
        <v>362</v>
      </c>
      <c r="E142">
        <v>12.5</v>
      </c>
      <c r="F142">
        <v>12.5</v>
      </c>
      <c r="G142">
        <v>25</v>
      </c>
      <c r="H142">
        <v>50</v>
      </c>
      <c r="J142">
        <f t="shared" si="4"/>
        <v>7.125</v>
      </c>
      <c r="K142">
        <f t="shared" si="5"/>
        <v>-1.2130075659799042</v>
      </c>
      <c r="L142">
        <v>34855.620269999999</v>
      </c>
      <c r="M142">
        <v>0.32168217269999999</v>
      </c>
      <c r="Q142">
        <v>0.67831782730000001</v>
      </c>
      <c r="R142">
        <v>37664.862390000002</v>
      </c>
      <c r="S142">
        <v>73520.616420000006</v>
      </c>
      <c r="Z142">
        <v>167260.97229999999</v>
      </c>
      <c r="AB142">
        <v>46449.56725</v>
      </c>
      <c r="AC142">
        <v>120429.243</v>
      </c>
      <c r="AD142">
        <v>171037.41870000001</v>
      </c>
      <c r="AI142">
        <v>0.2184872608</v>
      </c>
      <c r="AJ142">
        <v>0.65992736819999998</v>
      </c>
      <c r="AK142">
        <v>-0.71885964250000001</v>
      </c>
      <c r="AL142">
        <v>0.2065595663</v>
      </c>
      <c r="AM142">
        <v>-0.83931056370000001</v>
      </c>
      <c r="AN142">
        <v>0.50288261379999999</v>
      </c>
      <c r="AS142">
        <v>0</v>
      </c>
      <c r="AT142">
        <v>0</v>
      </c>
      <c r="BK142">
        <v>0</v>
      </c>
      <c r="BL142">
        <v>-0.66375745819999998</v>
      </c>
      <c r="BM142">
        <v>-0.4978163223</v>
      </c>
      <c r="BN142">
        <v>-0.55821585949999997</v>
      </c>
      <c r="BV142">
        <v>0</v>
      </c>
      <c r="BW142">
        <v>9.5078251550000006E-2</v>
      </c>
      <c r="BX142">
        <v>-0.97316813400000002</v>
      </c>
      <c r="BY142">
        <v>-0.2095325968</v>
      </c>
      <c r="BZ142">
        <v>0</v>
      </c>
      <c r="CA142">
        <v>-0.1129516247</v>
      </c>
      <c r="CB142">
        <v>-0.99076379989999996</v>
      </c>
      <c r="CC142">
        <v>7.5026817649999994E-2</v>
      </c>
      <c r="CD142">
        <v>0</v>
      </c>
      <c r="CE142">
        <v>0.2004640993</v>
      </c>
      <c r="CF142">
        <v>-9.6680137760000007E-2</v>
      </c>
      <c r="CG142">
        <v>-0.97491902019999999</v>
      </c>
    </row>
    <row r="143" spans="1:85" x14ac:dyDescent="0.25">
      <c r="A143" t="s">
        <v>409</v>
      </c>
      <c r="B143" t="s">
        <v>410</v>
      </c>
      <c r="C143">
        <v>1000</v>
      </c>
      <c r="D143" t="s">
        <v>334</v>
      </c>
      <c r="F143">
        <v>25</v>
      </c>
      <c r="G143">
        <v>25</v>
      </c>
      <c r="H143">
        <v>50</v>
      </c>
      <c r="J143">
        <f t="shared" si="4"/>
        <v>6.75</v>
      </c>
      <c r="K143">
        <f t="shared" si="5"/>
        <v>-1.0397207708399179</v>
      </c>
      <c r="L143">
        <v>33673.972029999997</v>
      </c>
      <c r="Q143">
        <v>1</v>
      </c>
      <c r="AB143">
        <v>43838.194680000001</v>
      </c>
      <c r="AC143">
        <v>68295.172690000007</v>
      </c>
      <c r="BV143">
        <v>0</v>
      </c>
      <c r="BW143">
        <v>-0.49044447880000003</v>
      </c>
      <c r="BX143">
        <v>0.87147243969999999</v>
      </c>
      <c r="BZ143">
        <v>0</v>
      </c>
      <c r="CA143">
        <v>0.4904420927</v>
      </c>
      <c r="CB143">
        <v>0.87147378249999996</v>
      </c>
    </row>
    <row r="144" spans="1:85" x14ac:dyDescent="0.25">
      <c r="A144" t="s">
        <v>411</v>
      </c>
      <c r="B144" t="s">
        <v>412</v>
      </c>
      <c r="C144">
        <v>1000</v>
      </c>
      <c r="D144" t="s">
        <v>362</v>
      </c>
      <c r="E144">
        <v>12.5</v>
      </c>
      <c r="G144">
        <v>37.5</v>
      </c>
      <c r="H144">
        <v>50</v>
      </c>
      <c r="J144">
        <f t="shared" si="4"/>
        <v>7.25</v>
      </c>
      <c r="K144">
        <f t="shared" si="5"/>
        <v>-0.97431475286934943</v>
      </c>
      <c r="L144">
        <v>39732.765070000001</v>
      </c>
      <c r="M144">
        <v>7.5301301609999996E-2</v>
      </c>
      <c r="Q144">
        <v>0.92469869839999996</v>
      </c>
      <c r="R144">
        <v>28102.410970000001</v>
      </c>
      <c r="S144">
        <v>140332.2022</v>
      </c>
      <c r="AB144">
        <v>37003.301890000002</v>
      </c>
      <c r="AC144">
        <v>63653.835440000003</v>
      </c>
      <c r="AJ144">
        <v>0.66422592540000003</v>
      </c>
      <c r="AK144">
        <v>-0.74753188569999995</v>
      </c>
      <c r="AL144">
        <v>-0.66422303279999995</v>
      </c>
      <c r="AN144">
        <v>-0.7475344558</v>
      </c>
      <c r="AS144">
        <v>0</v>
      </c>
      <c r="AT144">
        <v>0</v>
      </c>
      <c r="BV144">
        <v>0</v>
      </c>
      <c r="BX144">
        <v>-0.99112407489999998</v>
      </c>
      <c r="BY144">
        <v>-0.1329400922</v>
      </c>
      <c r="BZ144">
        <v>0</v>
      </c>
      <c r="CA144">
        <v>0.13292215339999999</v>
      </c>
      <c r="CC144">
        <v>-0.9911264809</v>
      </c>
    </row>
    <row r="145" spans="1:85" x14ac:dyDescent="0.25">
      <c r="A145" t="s">
        <v>413</v>
      </c>
      <c r="B145" t="s">
        <v>414</v>
      </c>
      <c r="C145">
        <v>1000</v>
      </c>
      <c r="D145" t="s">
        <v>334</v>
      </c>
      <c r="F145">
        <v>12.5</v>
      </c>
      <c r="G145">
        <v>37.5</v>
      </c>
      <c r="H145">
        <v>50</v>
      </c>
      <c r="J145">
        <f t="shared" si="4"/>
        <v>6.875</v>
      </c>
      <c r="K145">
        <f t="shared" si="5"/>
        <v>-0.97431475286934943</v>
      </c>
      <c r="L145">
        <v>36584.355470000002</v>
      </c>
      <c r="Q145">
        <v>1</v>
      </c>
      <c r="AB145">
        <v>32746.782889999999</v>
      </c>
      <c r="AC145">
        <v>110252.86719999999</v>
      </c>
      <c r="BV145">
        <v>0</v>
      </c>
      <c r="BW145">
        <v>-0.16168067459999999</v>
      </c>
      <c r="BX145">
        <v>0.98684312809999997</v>
      </c>
      <c r="BZ145">
        <v>0</v>
      </c>
      <c r="CA145">
        <v>0.161679923</v>
      </c>
      <c r="CB145">
        <v>0.98684325120000005</v>
      </c>
    </row>
    <row r="146" spans="1:85" x14ac:dyDescent="0.25">
      <c r="A146" t="s">
        <v>415</v>
      </c>
      <c r="B146" t="s">
        <v>416</v>
      </c>
      <c r="C146">
        <v>1000</v>
      </c>
      <c r="D146" t="s">
        <v>334</v>
      </c>
      <c r="G146">
        <v>50</v>
      </c>
      <c r="H146">
        <v>50</v>
      </c>
      <c r="J146">
        <f t="shared" si="4"/>
        <v>7</v>
      </c>
      <c r="K146">
        <f t="shared" si="5"/>
        <v>-0.69314718055994529</v>
      </c>
      <c r="L146">
        <v>39660.583070000001</v>
      </c>
      <c r="Q146">
        <v>1</v>
      </c>
      <c r="AB146">
        <v>26227.722979999999</v>
      </c>
      <c r="BV146">
        <v>0</v>
      </c>
      <c r="BX146">
        <v>1</v>
      </c>
    </row>
    <row r="147" spans="1:85" x14ac:dyDescent="0.25">
      <c r="A147" t="s">
        <v>417</v>
      </c>
      <c r="B147" t="s">
        <v>418</v>
      </c>
      <c r="C147">
        <v>1000</v>
      </c>
      <c r="D147" t="s">
        <v>301</v>
      </c>
      <c r="E147">
        <v>37.5</v>
      </c>
      <c r="H147">
        <v>62.5</v>
      </c>
      <c r="J147">
        <f t="shared" si="4"/>
        <v>7.5</v>
      </c>
      <c r="K147">
        <f t="shared" si="5"/>
        <v>-0.66156323815798213</v>
      </c>
      <c r="L147">
        <v>33384.587460000002</v>
      </c>
      <c r="M147">
        <v>0.64580209929999999</v>
      </c>
      <c r="Q147">
        <v>0.35419790070000001</v>
      </c>
      <c r="R147">
        <v>67102.006779999996</v>
      </c>
      <c r="AB147">
        <v>93883.932180000003</v>
      </c>
      <c r="AJ147">
        <v>1</v>
      </c>
      <c r="AS147">
        <v>0</v>
      </c>
      <c r="BV147">
        <v>0</v>
      </c>
      <c r="BY147">
        <v>1</v>
      </c>
    </row>
    <row r="148" spans="1:85" x14ac:dyDescent="0.25">
      <c r="A148" t="s">
        <v>419</v>
      </c>
      <c r="B148" t="s">
        <v>420</v>
      </c>
      <c r="C148">
        <v>1000</v>
      </c>
      <c r="D148" t="s">
        <v>347</v>
      </c>
      <c r="E148">
        <v>25</v>
      </c>
      <c r="F148">
        <v>12.5</v>
      </c>
      <c r="H148">
        <v>62.5</v>
      </c>
      <c r="J148">
        <f t="shared" si="4"/>
        <v>7.125</v>
      </c>
      <c r="K148">
        <f t="shared" si="5"/>
        <v>-0.90025605126853692</v>
      </c>
      <c r="L148">
        <v>30549.97063</v>
      </c>
      <c r="O148">
        <v>0.596268837</v>
      </c>
      <c r="Q148">
        <v>0.403731163</v>
      </c>
      <c r="U148">
        <v>64565.778599999998</v>
      </c>
      <c r="V148">
        <v>95834.18823</v>
      </c>
      <c r="AB148">
        <v>172649.63140000001</v>
      </c>
      <c r="AC148">
        <v>219451.2077</v>
      </c>
      <c r="AR148">
        <v>0.3653830448</v>
      </c>
      <c r="AU148">
        <v>0</v>
      </c>
      <c r="AV148">
        <v>0.93085725580000001</v>
      </c>
      <c r="AW148">
        <v>0</v>
      </c>
      <c r="AX148">
        <v>0.93085726560000004</v>
      </c>
      <c r="AY148">
        <v>-0.36538301960000003</v>
      </c>
      <c r="BV148">
        <v>0</v>
      </c>
      <c r="BW148">
        <v>-0.84101242679999999</v>
      </c>
      <c r="BY148">
        <v>0.54101580189999998</v>
      </c>
      <c r="BZ148">
        <v>0</v>
      </c>
      <c r="CB148">
        <v>-0.54101528060000004</v>
      </c>
      <c r="CC148">
        <v>-0.84101276219999999</v>
      </c>
    </row>
    <row r="149" spans="1:85" x14ac:dyDescent="0.25">
      <c r="A149" t="s">
        <v>421</v>
      </c>
      <c r="B149" t="s">
        <v>422</v>
      </c>
      <c r="C149">
        <v>1000</v>
      </c>
      <c r="D149" t="s">
        <v>423</v>
      </c>
      <c r="E149">
        <v>12.5</v>
      </c>
      <c r="F149">
        <v>25</v>
      </c>
      <c r="H149">
        <v>62.5</v>
      </c>
      <c r="J149">
        <f t="shared" si="4"/>
        <v>6.75</v>
      </c>
      <c r="K149">
        <f t="shared" si="5"/>
        <v>-0.90025605126853692</v>
      </c>
      <c r="L149">
        <v>28068.427810000001</v>
      </c>
      <c r="O149">
        <v>0.3313540566</v>
      </c>
      <c r="Q149">
        <v>0.66864594340000005</v>
      </c>
      <c r="U149">
        <v>70865.587280000007</v>
      </c>
      <c r="V149">
        <v>96049.849669999996</v>
      </c>
      <c r="AB149">
        <v>68232.919080000007</v>
      </c>
      <c r="AC149">
        <v>635527.46169999999</v>
      </c>
      <c r="AR149">
        <v>0.57230437249999999</v>
      </c>
      <c r="AU149">
        <v>0</v>
      </c>
      <c r="AV149">
        <v>0.82004128259999998</v>
      </c>
      <c r="AW149">
        <v>0</v>
      </c>
      <c r="AX149">
        <v>0.82004129989999996</v>
      </c>
      <c r="AY149">
        <v>-0.57230434770000005</v>
      </c>
      <c r="BV149">
        <v>0</v>
      </c>
      <c r="BW149">
        <v>-0.99999663329999999</v>
      </c>
      <c r="BY149">
        <v>2.594868921E-3</v>
      </c>
      <c r="BZ149">
        <v>0</v>
      </c>
      <c r="CB149">
        <v>-2.5945679599999999E-3</v>
      </c>
      <c r="CC149">
        <v>-0.99999663409999995</v>
      </c>
    </row>
    <row r="150" spans="1:85" x14ac:dyDescent="0.25">
      <c r="A150" t="s">
        <v>424</v>
      </c>
      <c r="B150" t="s">
        <v>425</v>
      </c>
      <c r="C150">
        <v>1000</v>
      </c>
      <c r="D150" t="s">
        <v>334</v>
      </c>
      <c r="F150">
        <v>37.5</v>
      </c>
      <c r="H150">
        <v>62.5</v>
      </c>
      <c r="J150">
        <f t="shared" si="4"/>
        <v>6.375</v>
      </c>
      <c r="K150">
        <f t="shared" si="5"/>
        <v>-0.66156323815798213</v>
      </c>
      <c r="L150">
        <v>27262.43518</v>
      </c>
      <c r="Q150">
        <v>1</v>
      </c>
      <c r="AB150">
        <v>43278.970540000002</v>
      </c>
      <c r="BV150">
        <v>0</v>
      </c>
      <c r="BW150">
        <v>1</v>
      </c>
    </row>
    <row r="151" spans="1:85" x14ac:dyDescent="0.25">
      <c r="A151" t="s">
        <v>426</v>
      </c>
      <c r="B151" t="s">
        <v>427</v>
      </c>
      <c r="C151">
        <v>1000</v>
      </c>
      <c r="D151" t="s">
        <v>362</v>
      </c>
      <c r="E151">
        <v>25</v>
      </c>
      <c r="G151">
        <v>12.5</v>
      </c>
      <c r="H151">
        <v>62.5</v>
      </c>
      <c r="J151">
        <f t="shared" si="4"/>
        <v>7.25</v>
      </c>
      <c r="K151">
        <f t="shared" si="5"/>
        <v>-0.90025605126853692</v>
      </c>
      <c r="L151">
        <v>35535.859340000003</v>
      </c>
      <c r="M151">
        <v>0.41664214459999999</v>
      </c>
      <c r="Q151">
        <v>0.58335785539999996</v>
      </c>
      <c r="R151">
        <v>49484.755579999997</v>
      </c>
      <c r="S151">
        <v>126612.40360000001</v>
      </c>
      <c r="AB151">
        <v>41764.295230000003</v>
      </c>
      <c r="AC151">
        <v>110270.9804</v>
      </c>
      <c r="AJ151">
        <v>0.82491792659999996</v>
      </c>
      <c r="AK151">
        <v>-0.56525252270000004</v>
      </c>
      <c r="AL151">
        <v>0.82491792770000005</v>
      </c>
      <c r="AN151">
        <v>0.56525252110000002</v>
      </c>
      <c r="AS151">
        <v>0</v>
      </c>
      <c r="AT151">
        <v>0</v>
      </c>
      <c r="BV151">
        <v>0</v>
      </c>
      <c r="BX151">
        <v>0.3172180356</v>
      </c>
      <c r="BY151">
        <v>0.9483526337</v>
      </c>
      <c r="BZ151">
        <v>0</v>
      </c>
      <c r="CA151">
        <v>0.94835277179999999</v>
      </c>
      <c r="CC151">
        <v>-0.3172176229</v>
      </c>
    </row>
    <row r="152" spans="1:85" x14ac:dyDescent="0.25">
      <c r="A152" t="s">
        <v>428</v>
      </c>
      <c r="B152" t="s">
        <v>429</v>
      </c>
      <c r="C152">
        <v>1000</v>
      </c>
      <c r="D152" t="s">
        <v>362</v>
      </c>
      <c r="E152">
        <v>12.5</v>
      </c>
      <c r="F152">
        <v>12.5</v>
      </c>
      <c r="G152">
        <v>12.5</v>
      </c>
      <c r="H152">
        <v>62.5</v>
      </c>
      <c r="J152">
        <f t="shared" si="4"/>
        <v>6.875</v>
      </c>
      <c r="K152">
        <f t="shared" si="5"/>
        <v>-1.073542846408523</v>
      </c>
      <c r="L152">
        <v>32193.938399999999</v>
      </c>
      <c r="M152">
        <v>0.2492660635</v>
      </c>
      <c r="Q152">
        <v>0.75073393649999998</v>
      </c>
      <c r="R152">
        <v>49283.617689999999</v>
      </c>
      <c r="S152">
        <v>65960.085030000002</v>
      </c>
      <c r="Z152">
        <v>155473.61749999999</v>
      </c>
      <c r="AB152">
        <v>91776.497189999995</v>
      </c>
      <c r="AC152">
        <v>120978.893</v>
      </c>
      <c r="AD152">
        <v>205773.50760000001</v>
      </c>
      <c r="AI152">
        <v>-5.2753189759999999E-2</v>
      </c>
      <c r="AJ152">
        <v>0.8346052933</v>
      </c>
      <c r="AK152">
        <v>-0.54831661050000002</v>
      </c>
      <c r="AL152">
        <v>-0.31129153900000001</v>
      </c>
      <c r="AM152">
        <v>0.93916412069999999</v>
      </c>
      <c r="AN152">
        <v>-0.1451493442</v>
      </c>
      <c r="AS152">
        <v>0</v>
      </c>
      <c r="AT152">
        <v>0</v>
      </c>
      <c r="BK152">
        <v>0</v>
      </c>
      <c r="BL152">
        <v>-0.77617425770000004</v>
      </c>
      <c r="BM152">
        <v>-0.33939335729999998</v>
      </c>
      <c r="BN152">
        <v>-0.53138090930000004</v>
      </c>
      <c r="BV152">
        <v>0</v>
      </c>
      <c r="BW152">
        <v>-0.29504955869999999</v>
      </c>
      <c r="BX152">
        <v>0.90496840540000001</v>
      </c>
      <c r="BY152">
        <v>0.30655822150000001</v>
      </c>
      <c r="BZ152">
        <v>0</v>
      </c>
      <c r="CA152">
        <v>0.31068825890000001</v>
      </c>
      <c r="CB152">
        <v>0.95050900679999994</v>
      </c>
      <c r="CC152">
        <v>-2.3310528600000002E-3</v>
      </c>
      <c r="CD152">
        <v>0</v>
      </c>
      <c r="CE152">
        <v>0.2906993678</v>
      </c>
      <c r="CF152">
        <v>-9.7352563899999994E-2</v>
      </c>
      <c r="CG152">
        <v>-0.95184891439999997</v>
      </c>
    </row>
    <row r="153" spans="1:85" x14ac:dyDescent="0.25">
      <c r="A153" t="s">
        <v>430</v>
      </c>
      <c r="B153" t="s">
        <v>431</v>
      </c>
      <c r="C153">
        <v>1000</v>
      </c>
      <c r="D153" t="s">
        <v>334</v>
      </c>
      <c r="F153">
        <v>25</v>
      </c>
      <c r="G153">
        <v>12.5</v>
      </c>
      <c r="H153">
        <v>62.5</v>
      </c>
      <c r="J153">
        <f t="shared" si="4"/>
        <v>6.5</v>
      </c>
      <c r="K153">
        <f t="shared" si="5"/>
        <v>-0.90025605126853692</v>
      </c>
      <c r="L153">
        <v>30367.241689999999</v>
      </c>
      <c r="Q153">
        <v>1</v>
      </c>
      <c r="AB153">
        <v>58498.883529999999</v>
      </c>
      <c r="AC153">
        <v>92472.334440000006</v>
      </c>
      <c r="BV153">
        <v>0</v>
      </c>
      <c r="BW153">
        <v>-0.97635562480000004</v>
      </c>
      <c r="BX153">
        <v>0.21617052070000001</v>
      </c>
      <c r="BZ153">
        <v>0</v>
      </c>
      <c r="CA153">
        <v>-0.97635562740000004</v>
      </c>
      <c r="CB153">
        <v>-0.21617050879999999</v>
      </c>
    </row>
    <row r="154" spans="1:85" x14ac:dyDescent="0.25">
      <c r="A154" t="s">
        <v>432</v>
      </c>
      <c r="B154" t="s">
        <v>433</v>
      </c>
      <c r="C154">
        <v>1000</v>
      </c>
      <c r="D154" t="s">
        <v>362</v>
      </c>
      <c r="E154">
        <v>12.5</v>
      </c>
      <c r="G154">
        <v>25</v>
      </c>
      <c r="H154">
        <v>62.5</v>
      </c>
      <c r="J154">
        <f t="shared" si="4"/>
        <v>7</v>
      </c>
      <c r="K154">
        <f t="shared" si="5"/>
        <v>-0.90025605126853692</v>
      </c>
      <c r="L154">
        <v>38396.020080000002</v>
      </c>
      <c r="M154">
        <v>4.3249494389999997E-2</v>
      </c>
      <c r="Q154">
        <v>0.95675050559999997</v>
      </c>
      <c r="R154">
        <v>32381.51109</v>
      </c>
      <c r="S154">
        <v>126585.30100000001</v>
      </c>
      <c r="AB154">
        <v>34798.041940000003</v>
      </c>
      <c r="AC154">
        <v>58641.010679999999</v>
      </c>
      <c r="AJ154">
        <v>0.69009116849999996</v>
      </c>
      <c r="AK154">
        <v>-0.72372244620000004</v>
      </c>
      <c r="AL154">
        <v>-0.69009116940000004</v>
      </c>
      <c r="AN154">
        <v>-0.72372244539999997</v>
      </c>
      <c r="AS154">
        <v>0</v>
      </c>
      <c r="AT154">
        <v>0</v>
      </c>
      <c r="BV154">
        <v>0</v>
      </c>
      <c r="BX154">
        <v>0.60107467169999995</v>
      </c>
      <c r="BY154">
        <v>0.79919286730000005</v>
      </c>
      <c r="BZ154">
        <v>0</v>
      </c>
      <c r="CA154">
        <v>0.79919241780000005</v>
      </c>
      <c r="CC154">
        <v>-0.60107526929999999</v>
      </c>
    </row>
    <row r="155" spans="1:85" x14ac:dyDescent="0.25">
      <c r="A155" t="s">
        <v>434</v>
      </c>
      <c r="B155" t="s">
        <v>435</v>
      </c>
      <c r="C155">
        <v>1000</v>
      </c>
      <c r="D155" t="s">
        <v>334</v>
      </c>
      <c r="F155">
        <v>12.5</v>
      </c>
      <c r="G155">
        <v>25</v>
      </c>
      <c r="H155">
        <v>62.5</v>
      </c>
      <c r="J155">
        <f t="shared" si="4"/>
        <v>6.625</v>
      </c>
      <c r="K155">
        <f t="shared" si="5"/>
        <v>-0.90025605126853692</v>
      </c>
      <c r="L155">
        <v>33973.086569999999</v>
      </c>
      <c r="Q155">
        <v>1</v>
      </c>
      <c r="AB155">
        <v>44807.901180000001</v>
      </c>
      <c r="AC155">
        <v>106322.4158</v>
      </c>
      <c r="BV155">
        <v>0</v>
      </c>
      <c r="BW155">
        <v>-0.12818907439999999</v>
      </c>
      <c r="BX155">
        <v>0.99174974729999998</v>
      </c>
      <c r="BZ155">
        <v>0</v>
      </c>
      <c r="CA155">
        <v>0.12818932820000001</v>
      </c>
      <c r="CB155">
        <v>0.99174971450000005</v>
      </c>
    </row>
    <row r="156" spans="1:85" x14ac:dyDescent="0.25">
      <c r="A156" t="s">
        <v>436</v>
      </c>
      <c r="B156" t="s">
        <v>437</v>
      </c>
      <c r="C156">
        <v>1000</v>
      </c>
      <c r="D156" t="s">
        <v>334</v>
      </c>
      <c r="G156">
        <v>37.5</v>
      </c>
      <c r="H156">
        <v>62.5</v>
      </c>
      <c r="J156">
        <f t="shared" si="4"/>
        <v>6.75</v>
      </c>
      <c r="K156">
        <f t="shared" si="5"/>
        <v>-0.66156323815798213</v>
      </c>
      <c r="L156">
        <v>37974.560799999999</v>
      </c>
      <c r="Q156">
        <v>1</v>
      </c>
      <c r="AB156">
        <v>29364.465069999998</v>
      </c>
      <c r="BV156">
        <v>0</v>
      </c>
      <c r="BX156">
        <v>1</v>
      </c>
    </row>
    <row r="157" spans="1:85" x14ac:dyDescent="0.25">
      <c r="A157" t="s">
        <v>438</v>
      </c>
      <c r="B157" t="s">
        <v>439</v>
      </c>
      <c r="C157">
        <v>1000</v>
      </c>
      <c r="D157" t="s">
        <v>362</v>
      </c>
      <c r="E157">
        <v>25</v>
      </c>
      <c r="H157">
        <v>75</v>
      </c>
      <c r="J157">
        <f t="shared" si="4"/>
        <v>7</v>
      </c>
      <c r="K157">
        <f t="shared" si="5"/>
        <v>-0.56233514461880829</v>
      </c>
      <c r="L157">
        <v>32750.409179999999</v>
      </c>
      <c r="M157">
        <v>0.39295612009999997</v>
      </c>
      <c r="Q157">
        <v>0.60704387989999997</v>
      </c>
      <c r="R157">
        <v>67102.006640000007</v>
      </c>
      <c r="AB157">
        <v>93883.933770000003</v>
      </c>
      <c r="AJ157">
        <v>1</v>
      </c>
      <c r="AS157">
        <v>0</v>
      </c>
      <c r="BV157">
        <v>0</v>
      </c>
      <c r="BY157">
        <v>1</v>
      </c>
    </row>
    <row r="158" spans="1:85" x14ac:dyDescent="0.25">
      <c r="A158" t="s">
        <v>440</v>
      </c>
      <c r="B158" t="s">
        <v>441</v>
      </c>
      <c r="C158">
        <v>1000</v>
      </c>
      <c r="D158" t="s">
        <v>423</v>
      </c>
      <c r="E158">
        <v>12.5</v>
      </c>
      <c r="F158">
        <v>12.5</v>
      </c>
      <c r="H158">
        <v>75</v>
      </c>
      <c r="J158">
        <f t="shared" si="4"/>
        <v>6.625</v>
      </c>
      <c r="K158">
        <f t="shared" si="5"/>
        <v>-0.73562193975879464</v>
      </c>
      <c r="L158">
        <v>29340.83582</v>
      </c>
      <c r="O158">
        <v>0.27508435879999998</v>
      </c>
      <c r="Q158">
        <v>0.72491564119999996</v>
      </c>
      <c r="U158">
        <v>64112.860719999997</v>
      </c>
      <c r="V158">
        <v>88886.366800000003</v>
      </c>
      <c r="AB158">
        <v>132676.7206</v>
      </c>
      <c r="AC158">
        <v>296192.8762</v>
      </c>
      <c r="AR158">
        <v>0.55278668789999996</v>
      </c>
      <c r="AU158">
        <v>0</v>
      </c>
      <c r="AV158">
        <v>0.83332279320000002</v>
      </c>
      <c r="AW158">
        <v>0</v>
      </c>
      <c r="AX158">
        <v>0.83332281029999999</v>
      </c>
      <c r="AY158">
        <v>-0.55278666219999995</v>
      </c>
      <c r="BV158">
        <v>0</v>
      </c>
      <c r="BW158">
        <v>-0.99417462909999998</v>
      </c>
      <c r="BY158">
        <v>0.1077812918</v>
      </c>
      <c r="BZ158">
        <v>0</v>
      </c>
      <c r="CB158">
        <v>-0.107781062</v>
      </c>
      <c r="CC158">
        <v>-0.99417465400000005</v>
      </c>
    </row>
    <row r="159" spans="1:85" x14ac:dyDescent="0.25">
      <c r="A159" t="s">
        <v>442</v>
      </c>
      <c r="B159" t="s">
        <v>443</v>
      </c>
      <c r="C159">
        <v>1000</v>
      </c>
      <c r="D159" t="s">
        <v>334</v>
      </c>
      <c r="F159">
        <v>25</v>
      </c>
      <c r="H159">
        <v>75</v>
      </c>
      <c r="J159">
        <f t="shared" si="4"/>
        <v>6.25</v>
      </c>
      <c r="K159">
        <f t="shared" si="5"/>
        <v>-0.56233514461880829</v>
      </c>
      <c r="L159">
        <v>26579.19184</v>
      </c>
      <c r="Q159">
        <v>1</v>
      </c>
      <c r="AB159">
        <v>60002.240940000003</v>
      </c>
      <c r="BV159">
        <v>0</v>
      </c>
      <c r="BW159">
        <v>1</v>
      </c>
    </row>
    <row r="160" spans="1:85" x14ac:dyDescent="0.25">
      <c r="A160" t="s">
        <v>444</v>
      </c>
      <c r="B160" t="s">
        <v>445</v>
      </c>
      <c r="C160">
        <v>1000</v>
      </c>
      <c r="D160" t="s">
        <v>362</v>
      </c>
      <c r="E160">
        <v>12.5</v>
      </c>
      <c r="G160">
        <v>12.5</v>
      </c>
      <c r="H160">
        <v>75</v>
      </c>
      <c r="J160">
        <f t="shared" si="4"/>
        <v>6.75</v>
      </c>
      <c r="K160">
        <f t="shared" si="5"/>
        <v>-0.73562193975879464</v>
      </c>
      <c r="L160">
        <v>35590.394249999998</v>
      </c>
      <c r="M160">
        <v>9.523743824E-2</v>
      </c>
      <c r="Q160">
        <v>0.90476256180000003</v>
      </c>
      <c r="R160">
        <v>47667.090850000001</v>
      </c>
      <c r="S160">
        <v>124775.6349</v>
      </c>
      <c r="AB160">
        <v>39841.947769999999</v>
      </c>
      <c r="AC160">
        <v>103436.21799999999</v>
      </c>
      <c r="AJ160">
        <v>0.8064943846</v>
      </c>
      <c r="AK160">
        <v>-0.59124175050000005</v>
      </c>
      <c r="AL160">
        <v>0.80649438569999998</v>
      </c>
      <c r="AN160">
        <v>0.59124174900000004</v>
      </c>
      <c r="AS160">
        <v>0</v>
      </c>
      <c r="AT160">
        <v>0</v>
      </c>
      <c r="BV160">
        <v>0</v>
      </c>
      <c r="BX160">
        <v>0.33413750190000002</v>
      </c>
      <c r="BY160">
        <v>0.9425243391</v>
      </c>
      <c r="BZ160">
        <v>0</v>
      </c>
      <c r="CA160">
        <v>0.94252447630000002</v>
      </c>
      <c r="CC160">
        <v>-0.33413711480000002</v>
      </c>
    </row>
    <row r="161" spans="1:89" x14ac:dyDescent="0.25">
      <c r="A161" t="s">
        <v>446</v>
      </c>
      <c r="B161" t="s">
        <v>447</v>
      </c>
      <c r="C161">
        <v>1000</v>
      </c>
      <c r="D161" t="s">
        <v>334</v>
      </c>
      <c r="F161">
        <v>12.5</v>
      </c>
      <c r="G161">
        <v>12.5</v>
      </c>
      <c r="H161">
        <v>75</v>
      </c>
      <c r="J161">
        <f t="shared" si="4"/>
        <v>6.375</v>
      </c>
      <c r="K161">
        <f t="shared" si="5"/>
        <v>-0.73562193975879464</v>
      </c>
      <c r="L161">
        <v>30575.91704</v>
      </c>
      <c r="Q161">
        <v>1</v>
      </c>
      <c r="AB161">
        <v>87752.392370000001</v>
      </c>
      <c r="AC161">
        <v>107390.4134</v>
      </c>
      <c r="BV161">
        <v>0</v>
      </c>
      <c r="BW161">
        <v>-0.37451631010000003</v>
      </c>
      <c r="BX161">
        <v>0.92722032629999995</v>
      </c>
      <c r="BZ161">
        <v>0</v>
      </c>
      <c r="CA161">
        <v>0.37451680809999999</v>
      </c>
      <c r="CB161">
        <v>0.92722012509999996</v>
      </c>
    </row>
    <row r="162" spans="1:89" x14ac:dyDescent="0.25">
      <c r="A162" t="s">
        <v>448</v>
      </c>
      <c r="B162" t="s">
        <v>449</v>
      </c>
      <c r="C162">
        <v>1000</v>
      </c>
      <c r="D162" t="s">
        <v>334</v>
      </c>
      <c r="G162">
        <v>25</v>
      </c>
      <c r="H162">
        <v>75</v>
      </c>
      <c r="J162">
        <f t="shared" si="4"/>
        <v>6.5</v>
      </c>
      <c r="K162">
        <f t="shared" si="5"/>
        <v>-0.56233514461880829</v>
      </c>
      <c r="L162">
        <v>35223.150930000003</v>
      </c>
      <c r="Q162">
        <v>1</v>
      </c>
      <c r="AB162">
        <v>44163.110739999996</v>
      </c>
      <c r="BV162">
        <v>0</v>
      </c>
      <c r="BX162">
        <v>1</v>
      </c>
    </row>
    <row r="163" spans="1:89" x14ac:dyDescent="0.25">
      <c r="A163" t="s">
        <v>450</v>
      </c>
      <c r="B163" t="s">
        <v>451</v>
      </c>
      <c r="C163">
        <v>1000</v>
      </c>
      <c r="D163" t="s">
        <v>362</v>
      </c>
      <c r="E163">
        <v>12.5</v>
      </c>
      <c r="H163">
        <v>87.5</v>
      </c>
      <c r="J163">
        <f t="shared" si="4"/>
        <v>6.5</v>
      </c>
      <c r="K163">
        <f t="shared" si="5"/>
        <v>-0.37677016125643675</v>
      </c>
      <c r="L163">
        <v>32116.230380000001</v>
      </c>
      <c r="M163">
        <v>0.14010994260000001</v>
      </c>
      <c r="Q163">
        <v>0.85989005740000002</v>
      </c>
      <c r="R163">
        <v>67102.006529999999</v>
      </c>
      <c r="AB163">
        <v>93883.935329999993</v>
      </c>
      <c r="AJ163">
        <v>1</v>
      </c>
      <c r="AS163">
        <v>0</v>
      </c>
      <c r="BV163">
        <v>0</v>
      </c>
      <c r="BY163">
        <v>1</v>
      </c>
    </row>
    <row r="164" spans="1:89" x14ac:dyDescent="0.25">
      <c r="A164" t="s">
        <v>452</v>
      </c>
      <c r="B164" t="s">
        <v>453</v>
      </c>
      <c r="C164">
        <v>1000</v>
      </c>
      <c r="D164" t="s">
        <v>334</v>
      </c>
      <c r="F164">
        <v>12.5</v>
      </c>
      <c r="H164">
        <v>87.5</v>
      </c>
      <c r="J164">
        <f t="shared" si="4"/>
        <v>6.125</v>
      </c>
      <c r="K164">
        <f t="shared" si="5"/>
        <v>-0.37677016125643675</v>
      </c>
      <c r="L164">
        <v>26960.63708</v>
      </c>
      <c r="Q164">
        <v>1</v>
      </c>
      <c r="AB164">
        <v>105850.8772</v>
      </c>
      <c r="BV164">
        <v>0</v>
      </c>
      <c r="BW164">
        <v>1</v>
      </c>
    </row>
    <row r="165" spans="1:89" x14ac:dyDescent="0.25">
      <c r="A165" t="s">
        <v>454</v>
      </c>
      <c r="B165" t="s">
        <v>455</v>
      </c>
      <c r="C165">
        <v>1000</v>
      </c>
      <c r="D165" t="s">
        <v>334</v>
      </c>
      <c r="G165">
        <v>12.5</v>
      </c>
      <c r="H165">
        <v>87.5</v>
      </c>
      <c r="J165">
        <f t="shared" si="4"/>
        <v>6.25</v>
      </c>
      <c r="K165">
        <f t="shared" si="5"/>
        <v>-0.37677016125643675</v>
      </c>
      <c r="L165">
        <v>31866.789000000001</v>
      </c>
      <c r="Q165">
        <v>1</v>
      </c>
      <c r="AB165">
        <v>91751.165269999998</v>
      </c>
      <c r="BV165">
        <v>0</v>
      </c>
      <c r="BX165">
        <v>1</v>
      </c>
    </row>
    <row r="166" spans="1:89" x14ac:dyDescent="0.25">
      <c r="A166" t="s">
        <v>456</v>
      </c>
      <c r="B166" t="s">
        <v>457</v>
      </c>
      <c r="C166">
        <v>1000</v>
      </c>
      <c r="D166" t="s">
        <v>334</v>
      </c>
      <c r="H166">
        <v>100</v>
      </c>
      <c r="J166">
        <f t="shared" si="4"/>
        <v>6</v>
      </c>
      <c r="K166">
        <f t="shared" si="5"/>
        <v>0</v>
      </c>
      <c r="L166">
        <v>28646.053209999998</v>
      </c>
      <c r="Q166">
        <v>1</v>
      </c>
    </row>
    <row r="167" spans="1:89" x14ac:dyDescent="0.25">
      <c r="A167" t="s">
        <v>458</v>
      </c>
      <c r="B167" t="s">
        <v>459</v>
      </c>
      <c r="C167">
        <v>1000</v>
      </c>
      <c r="D167" t="s">
        <v>111</v>
      </c>
      <c r="E167">
        <v>87.5</v>
      </c>
      <c r="I167">
        <v>12.5</v>
      </c>
      <c r="J167">
        <f t="shared" si="4"/>
        <v>9.875</v>
      </c>
      <c r="K167">
        <f t="shared" si="5"/>
        <v>-0.37677016125643675</v>
      </c>
      <c r="L167">
        <v>31480.164260000001</v>
      </c>
      <c r="M167">
        <v>1</v>
      </c>
      <c r="R167">
        <v>94040.182660000006</v>
      </c>
      <c r="AJ167">
        <v>1</v>
      </c>
      <c r="CH167">
        <v>0</v>
      </c>
    </row>
    <row r="168" spans="1:89" x14ac:dyDescent="0.25">
      <c r="A168" t="s">
        <v>460</v>
      </c>
      <c r="B168" t="s">
        <v>461</v>
      </c>
      <c r="C168">
        <v>1000</v>
      </c>
      <c r="D168" t="s">
        <v>111</v>
      </c>
      <c r="E168">
        <v>75</v>
      </c>
      <c r="F168">
        <v>12.5</v>
      </c>
      <c r="I168">
        <v>12.5</v>
      </c>
      <c r="J168">
        <f t="shared" si="4"/>
        <v>9.5</v>
      </c>
      <c r="K168">
        <f t="shared" si="5"/>
        <v>-0.73562193975879464</v>
      </c>
      <c r="L168">
        <v>28102.849170000001</v>
      </c>
      <c r="M168">
        <v>1</v>
      </c>
      <c r="R168">
        <v>46458.144610000003</v>
      </c>
      <c r="S168">
        <v>374656.58159999998</v>
      </c>
      <c r="AI168">
        <v>0</v>
      </c>
      <c r="AJ168">
        <v>0.77321924399999997</v>
      </c>
      <c r="AM168">
        <v>0</v>
      </c>
      <c r="AN168">
        <v>0.63413853939999998</v>
      </c>
      <c r="CH168">
        <v>-0.63413878670000001</v>
      </c>
      <c r="CI168">
        <v>0.77321944679999999</v>
      </c>
    </row>
    <row r="169" spans="1:89" x14ac:dyDescent="0.25">
      <c r="A169" t="s">
        <v>462</v>
      </c>
      <c r="B169" t="s">
        <v>463</v>
      </c>
      <c r="C169">
        <v>1000</v>
      </c>
      <c r="D169" t="s">
        <v>111</v>
      </c>
      <c r="E169">
        <v>62.5</v>
      </c>
      <c r="F169">
        <v>25</v>
      </c>
      <c r="I169">
        <v>12.5</v>
      </c>
      <c r="J169">
        <f t="shared" si="4"/>
        <v>9.125</v>
      </c>
      <c r="K169">
        <f t="shared" si="5"/>
        <v>-0.90025605126853692</v>
      </c>
      <c r="L169">
        <v>26737.03513</v>
      </c>
      <c r="M169">
        <v>1</v>
      </c>
      <c r="R169">
        <v>47878.827319999997</v>
      </c>
      <c r="S169">
        <v>272805.1213</v>
      </c>
      <c r="AI169">
        <v>0</v>
      </c>
      <c r="AJ169">
        <v>0.79060954260000005</v>
      </c>
      <c r="AM169">
        <v>0</v>
      </c>
      <c r="AN169">
        <v>0.61232081230000002</v>
      </c>
      <c r="CH169">
        <v>-0.61232062769999995</v>
      </c>
      <c r="CI169">
        <v>0.79060939959999998</v>
      </c>
    </row>
    <row r="170" spans="1:89" x14ac:dyDescent="0.25">
      <c r="A170" t="s">
        <v>464</v>
      </c>
      <c r="B170" t="s">
        <v>465</v>
      </c>
      <c r="C170">
        <v>1000</v>
      </c>
      <c r="D170" t="s">
        <v>111</v>
      </c>
      <c r="E170">
        <v>50</v>
      </c>
      <c r="F170">
        <v>37.5</v>
      </c>
      <c r="I170">
        <v>12.5</v>
      </c>
      <c r="J170">
        <f t="shared" si="4"/>
        <v>8.75</v>
      </c>
      <c r="K170">
        <f t="shared" si="5"/>
        <v>-0.97431475286934943</v>
      </c>
      <c r="L170">
        <v>27011.47178</v>
      </c>
      <c r="M170">
        <v>1</v>
      </c>
      <c r="R170">
        <v>49808.235330000003</v>
      </c>
      <c r="S170">
        <v>228739.9014</v>
      </c>
      <c r="AI170">
        <v>0</v>
      </c>
      <c r="AJ170">
        <v>0.79810424599999996</v>
      </c>
      <c r="AM170">
        <v>0</v>
      </c>
      <c r="AN170">
        <v>0.60251856719999997</v>
      </c>
      <c r="CH170">
        <v>-0.60251938770000002</v>
      </c>
      <c r="CI170">
        <v>0.79810486540000003</v>
      </c>
    </row>
    <row r="171" spans="1:89" x14ac:dyDescent="0.25">
      <c r="A171" t="s">
        <v>466</v>
      </c>
      <c r="B171" t="s">
        <v>467</v>
      </c>
      <c r="C171">
        <v>1000</v>
      </c>
      <c r="D171" t="s">
        <v>111</v>
      </c>
      <c r="E171">
        <v>37.5</v>
      </c>
      <c r="F171">
        <v>50</v>
      </c>
      <c r="I171">
        <v>12.5</v>
      </c>
      <c r="J171">
        <f t="shared" si="4"/>
        <v>8.375</v>
      </c>
      <c r="K171">
        <f t="shared" si="5"/>
        <v>-0.97431475286934943</v>
      </c>
      <c r="L171">
        <v>28464.03918</v>
      </c>
      <c r="M171">
        <v>1</v>
      </c>
      <c r="R171">
        <v>52752.007680000002</v>
      </c>
      <c r="S171">
        <v>203423.30100000001</v>
      </c>
      <c r="AI171">
        <v>0</v>
      </c>
      <c r="AJ171">
        <v>0.79918587379999995</v>
      </c>
      <c r="AM171">
        <v>0</v>
      </c>
      <c r="AN171">
        <v>0.60108396939999997</v>
      </c>
      <c r="CH171">
        <v>-0.60108397010000003</v>
      </c>
      <c r="CI171">
        <v>0.79918587429999999</v>
      </c>
    </row>
    <row r="172" spans="1:89" x14ac:dyDescent="0.25">
      <c r="A172" t="s">
        <v>468</v>
      </c>
      <c r="B172" t="s">
        <v>469</v>
      </c>
      <c r="C172">
        <v>1000</v>
      </c>
      <c r="D172" t="s">
        <v>111</v>
      </c>
      <c r="E172">
        <v>25</v>
      </c>
      <c r="F172">
        <v>62.5</v>
      </c>
      <c r="I172">
        <v>12.5</v>
      </c>
      <c r="J172">
        <f t="shared" si="4"/>
        <v>8</v>
      </c>
      <c r="K172">
        <f t="shared" si="5"/>
        <v>-0.90025605126853692</v>
      </c>
      <c r="L172">
        <v>30627.867719999998</v>
      </c>
      <c r="M172">
        <v>1</v>
      </c>
      <c r="R172">
        <v>59212.68939</v>
      </c>
      <c r="S172">
        <v>190108.9381</v>
      </c>
      <c r="AI172">
        <v>0</v>
      </c>
      <c r="AJ172">
        <v>0.78492507739999995</v>
      </c>
      <c r="AM172">
        <v>0</v>
      </c>
      <c r="AN172">
        <v>0.61959068959999997</v>
      </c>
      <c r="CH172">
        <v>-0.61959068979999998</v>
      </c>
      <c r="CI172">
        <v>0.78492507749999996</v>
      </c>
    </row>
    <row r="173" spans="1:89" x14ac:dyDescent="0.25">
      <c r="A173" t="s">
        <v>470</v>
      </c>
      <c r="B173" t="s">
        <v>471</v>
      </c>
      <c r="C173">
        <v>1000</v>
      </c>
      <c r="D173" t="s">
        <v>111</v>
      </c>
      <c r="E173">
        <v>12.5</v>
      </c>
      <c r="F173">
        <v>75</v>
      </c>
      <c r="I173">
        <v>12.5</v>
      </c>
      <c r="J173">
        <f t="shared" si="4"/>
        <v>7.625</v>
      </c>
      <c r="K173">
        <f t="shared" si="5"/>
        <v>-0.73562193975879464</v>
      </c>
      <c r="L173">
        <v>33033.454590000001</v>
      </c>
      <c r="M173">
        <v>1</v>
      </c>
      <c r="R173">
        <v>79591.761530000003</v>
      </c>
      <c r="S173">
        <v>196743.56589999999</v>
      </c>
      <c r="AI173">
        <v>0</v>
      </c>
      <c r="AJ173">
        <v>0.68799828389999995</v>
      </c>
      <c r="AM173">
        <v>0</v>
      </c>
      <c r="AN173">
        <v>-0.72571218059999998</v>
      </c>
      <c r="CH173">
        <v>-0.72571231309999995</v>
      </c>
      <c r="CI173">
        <v>-0.68799842369999997</v>
      </c>
    </row>
    <row r="174" spans="1:89" x14ac:dyDescent="0.25">
      <c r="A174" t="s">
        <v>472</v>
      </c>
      <c r="B174" t="s">
        <v>473</v>
      </c>
      <c r="C174">
        <v>1000</v>
      </c>
      <c r="D174" t="s">
        <v>128</v>
      </c>
      <c r="F174">
        <v>87.5</v>
      </c>
      <c r="I174">
        <v>12.5</v>
      </c>
      <c r="J174">
        <f t="shared" si="4"/>
        <v>7.25</v>
      </c>
      <c r="K174">
        <f t="shared" si="5"/>
        <v>-0.37677016125643675</v>
      </c>
      <c r="L174">
        <v>33414.726439999999</v>
      </c>
      <c r="N174">
        <v>1</v>
      </c>
      <c r="T174">
        <v>141819.0184</v>
      </c>
      <c r="AP174">
        <v>0</v>
      </c>
      <c r="CJ174">
        <v>1</v>
      </c>
    </row>
    <row r="175" spans="1:89" x14ac:dyDescent="0.25">
      <c r="A175" t="s">
        <v>474</v>
      </c>
      <c r="B175" t="s">
        <v>475</v>
      </c>
      <c r="C175">
        <v>1000</v>
      </c>
      <c r="D175" t="s">
        <v>111</v>
      </c>
      <c r="E175">
        <v>75</v>
      </c>
      <c r="G175">
        <v>12.5</v>
      </c>
      <c r="I175">
        <v>12.5</v>
      </c>
      <c r="J175">
        <f t="shared" si="4"/>
        <v>9.625</v>
      </c>
      <c r="K175">
        <f t="shared" si="5"/>
        <v>-0.73562193975879464</v>
      </c>
      <c r="L175">
        <v>30316.030739999998</v>
      </c>
      <c r="M175">
        <v>1</v>
      </c>
      <c r="R175">
        <v>43602.109779999999</v>
      </c>
      <c r="S175">
        <v>274100.19829999999</v>
      </c>
      <c r="AJ175">
        <v>0.77405920139999995</v>
      </c>
      <c r="AK175">
        <v>0</v>
      </c>
      <c r="AL175">
        <v>0</v>
      </c>
      <c r="AN175">
        <v>0.63311309179999997</v>
      </c>
      <c r="CH175">
        <v>-0.63311322270000003</v>
      </c>
      <c r="CI175">
        <v>0.77405930840000003</v>
      </c>
    </row>
    <row r="176" spans="1:89" x14ac:dyDescent="0.25">
      <c r="A176" t="s">
        <v>476</v>
      </c>
      <c r="B176" t="s">
        <v>477</v>
      </c>
      <c r="C176">
        <v>1000</v>
      </c>
      <c r="D176" t="s">
        <v>111</v>
      </c>
      <c r="E176">
        <v>62.5</v>
      </c>
      <c r="F176">
        <v>12.5</v>
      </c>
      <c r="G176">
        <v>12.5</v>
      </c>
      <c r="I176">
        <v>12.5</v>
      </c>
      <c r="J176">
        <f t="shared" si="4"/>
        <v>9.25</v>
      </c>
      <c r="K176">
        <f t="shared" si="5"/>
        <v>-1.0735428464085233</v>
      </c>
      <c r="L176">
        <v>28093.35442</v>
      </c>
      <c r="M176">
        <v>1</v>
      </c>
      <c r="R176">
        <v>44619.62</v>
      </c>
      <c r="S176">
        <v>90812.752179999996</v>
      </c>
      <c r="Z176">
        <v>486392.92690000002</v>
      </c>
      <c r="AI176">
        <v>0</v>
      </c>
      <c r="AJ176">
        <v>0.81210330919999996</v>
      </c>
      <c r="AK176">
        <v>-0.17367019240000001</v>
      </c>
      <c r="AL176">
        <v>-0.81533097960000001</v>
      </c>
      <c r="AM176">
        <v>0</v>
      </c>
      <c r="AN176">
        <v>0.19868900810000001</v>
      </c>
      <c r="BL176">
        <v>-0.55233489840000005</v>
      </c>
      <c r="BM176">
        <v>0</v>
      </c>
      <c r="BN176">
        <v>-0.54864480569999996</v>
      </c>
      <c r="CH176">
        <v>-0.5570699053</v>
      </c>
      <c r="CI176">
        <v>0.54383643849999996</v>
      </c>
      <c r="CK176">
        <v>-0.62762651089999999</v>
      </c>
    </row>
    <row r="177" spans="1:90" x14ac:dyDescent="0.25">
      <c r="A177" t="s">
        <v>478</v>
      </c>
      <c r="B177" t="s">
        <v>479</v>
      </c>
      <c r="C177">
        <v>1000</v>
      </c>
      <c r="D177" t="s">
        <v>111</v>
      </c>
      <c r="E177">
        <v>50</v>
      </c>
      <c r="F177">
        <v>25</v>
      </c>
      <c r="G177">
        <v>12.5</v>
      </c>
      <c r="I177">
        <v>12.5</v>
      </c>
      <c r="J177">
        <f t="shared" si="4"/>
        <v>8.875</v>
      </c>
      <c r="K177">
        <f t="shared" si="5"/>
        <v>-1.2130075659799042</v>
      </c>
      <c r="L177">
        <v>27488.03541</v>
      </c>
      <c r="M177">
        <v>1</v>
      </c>
      <c r="R177">
        <v>47602.83829</v>
      </c>
      <c r="S177">
        <v>89150.927169999995</v>
      </c>
      <c r="Z177">
        <v>343603.72409999999</v>
      </c>
      <c r="AI177">
        <v>0</v>
      </c>
      <c r="AJ177">
        <v>0.81441708550000003</v>
      </c>
      <c r="AK177">
        <v>-0.14760827409999999</v>
      </c>
      <c r="AL177">
        <v>-0.82885287819999998</v>
      </c>
      <c r="AM177">
        <v>0</v>
      </c>
      <c r="AN177">
        <v>0.20772817090000001</v>
      </c>
      <c r="BL177">
        <v>-0.53964286750000001</v>
      </c>
      <c r="BM177">
        <v>0</v>
      </c>
      <c r="BN177">
        <v>-0.54182401329999996</v>
      </c>
      <c r="CH177">
        <v>-0.56119213130000001</v>
      </c>
      <c r="CI177">
        <v>0.51947272629999997</v>
      </c>
      <c r="CK177">
        <v>-0.64436970299999996</v>
      </c>
    </row>
    <row r="178" spans="1:90" x14ac:dyDescent="0.25">
      <c r="A178" t="s">
        <v>480</v>
      </c>
      <c r="B178" t="s">
        <v>481</v>
      </c>
      <c r="C178">
        <v>1000</v>
      </c>
      <c r="D178" t="s">
        <v>111</v>
      </c>
      <c r="E178">
        <v>37.5</v>
      </c>
      <c r="F178">
        <v>37.5</v>
      </c>
      <c r="G178">
        <v>12.5</v>
      </c>
      <c r="I178">
        <v>12.5</v>
      </c>
      <c r="J178">
        <f t="shared" si="4"/>
        <v>8.5</v>
      </c>
      <c r="K178">
        <f t="shared" si="5"/>
        <v>-1.2554823251787537</v>
      </c>
      <c r="L178">
        <v>28316.227859999999</v>
      </c>
      <c r="M178">
        <v>1</v>
      </c>
      <c r="R178">
        <v>51785.88091</v>
      </c>
      <c r="S178">
        <v>88132.945330000002</v>
      </c>
      <c r="Z178">
        <v>280534.5086</v>
      </c>
      <c r="AI178">
        <v>0</v>
      </c>
      <c r="AJ178">
        <v>0.80492319779999999</v>
      </c>
      <c r="AK178">
        <v>-0.1062983296</v>
      </c>
      <c r="AL178">
        <v>0.84667305530000003</v>
      </c>
      <c r="AM178">
        <v>0</v>
      </c>
      <c r="AN178">
        <v>-0.23458356999999999</v>
      </c>
      <c r="BL178">
        <v>0.5213879575</v>
      </c>
      <c r="BM178">
        <v>0</v>
      </c>
      <c r="BN178">
        <v>0.54504054449999995</v>
      </c>
      <c r="CH178">
        <v>-0.58378019039999995</v>
      </c>
      <c r="CI178">
        <v>-0.47761416029999998</v>
      </c>
      <c r="CK178">
        <v>0.65657094260000004</v>
      </c>
    </row>
    <row r="179" spans="1:90" x14ac:dyDescent="0.25">
      <c r="A179" t="s">
        <v>482</v>
      </c>
      <c r="B179" t="s">
        <v>483</v>
      </c>
      <c r="C179">
        <v>1000</v>
      </c>
      <c r="D179" t="s">
        <v>111</v>
      </c>
      <c r="E179">
        <v>25</v>
      </c>
      <c r="F179">
        <v>50</v>
      </c>
      <c r="G179">
        <v>12.5</v>
      </c>
      <c r="I179">
        <v>12.5</v>
      </c>
      <c r="J179">
        <f t="shared" si="4"/>
        <v>8.125</v>
      </c>
      <c r="K179">
        <f t="shared" si="5"/>
        <v>-1.2130075659799042</v>
      </c>
      <c r="L179">
        <v>30124.066869999999</v>
      </c>
      <c r="M179">
        <v>1</v>
      </c>
      <c r="R179">
        <v>59202.79292</v>
      </c>
      <c r="S179">
        <v>88027.714420000004</v>
      </c>
      <c r="Z179">
        <v>244439.30059999999</v>
      </c>
      <c r="AI179">
        <v>0</v>
      </c>
      <c r="AJ179">
        <v>0.76519775130000001</v>
      </c>
      <c r="AK179">
        <v>-8.6888820379999992E-3</v>
      </c>
      <c r="AL179">
        <v>-0.87437445300000005</v>
      </c>
      <c r="AM179">
        <v>0</v>
      </c>
      <c r="AN179">
        <v>0.30653398329999998</v>
      </c>
      <c r="BL179">
        <v>-0.48517400840000002</v>
      </c>
      <c r="BM179">
        <v>0</v>
      </c>
      <c r="BN179">
        <v>-0.56613542559999996</v>
      </c>
      <c r="CH179">
        <v>-0.64373667339999996</v>
      </c>
      <c r="CI179">
        <v>0.37617314229999999</v>
      </c>
      <c r="CK179">
        <v>-0.66640592840000001</v>
      </c>
    </row>
    <row r="180" spans="1:90" x14ac:dyDescent="0.25">
      <c r="A180" t="s">
        <v>484</v>
      </c>
      <c r="B180" t="s">
        <v>485</v>
      </c>
      <c r="C180">
        <v>1000</v>
      </c>
      <c r="D180" t="s">
        <v>111</v>
      </c>
      <c r="E180">
        <v>12.5</v>
      </c>
      <c r="F180">
        <v>62.5</v>
      </c>
      <c r="G180">
        <v>12.5</v>
      </c>
      <c r="I180">
        <v>12.5</v>
      </c>
      <c r="J180">
        <f t="shared" si="4"/>
        <v>7.75</v>
      </c>
      <c r="K180">
        <f t="shared" si="5"/>
        <v>-1.0735428464085233</v>
      </c>
      <c r="L180">
        <v>32444.909240000001</v>
      </c>
      <c r="M180">
        <v>1</v>
      </c>
      <c r="R180">
        <v>74287.478040000002</v>
      </c>
      <c r="S180">
        <v>95781.669580000002</v>
      </c>
      <c r="Z180">
        <v>232377.3947</v>
      </c>
      <c r="AI180">
        <v>0</v>
      </c>
      <c r="AJ180">
        <v>0.46747000370000003</v>
      </c>
      <c r="AK180">
        <v>0.44247689670000001</v>
      </c>
      <c r="AL180">
        <v>-0.80658103520000002</v>
      </c>
      <c r="AM180">
        <v>0</v>
      </c>
      <c r="AN180">
        <v>0.58045809410000004</v>
      </c>
      <c r="BL180">
        <v>-0.39197093049999998</v>
      </c>
      <c r="BM180">
        <v>0</v>
      </c>
      <c r="BN180">
        <v>-0.66673809930000005</v>
      </c>
      <c r="CH180">
        <v>-0.76530124229999996</v>
      </c>
      <c r="CI180">
        <v>-0.11178298</v>
      </c>
      <c r="CK180">
        <v>-0.63389202280000001</v>
      </c>
    </row>
    <row r="181" spans="1:90" x14ac:dyDescent="0.25">
      <c r="A181" t="s">
        <v>486</v>
      </c>
      <c r="B181" t="s">
        <v>487</v>
      </c>
      <c r="C181">
        <v>1000</v>
      </c>
      <c r="D181" t="s">
        <v>128</v>
      </c>
      <c r="F181">
        <v>75</v>
      </c>
      <c r="G181">
        <v>12.5</v>
      </c>
      <c r="I181">
        <v>12.5</v>
      </c>
      <c r="J181">
        <f t="shared" si="4"/>
        <v>7.375</v>
      </c>
      <c r="K181">
        <f t="shared" si="5"/>
        <v>-0.73562193975879464</v>
      </c>
      <c r="L181">
        <v>33422.328110000002</v>
      </c>
      <c r="N181">
        <v>1</v>
      </c>
      <c r="T181">
        <v>87431.169959999999</v>
      </c>
      <c r="Y181">
        <v>174304.29389999999</v>
      </c>
      <c r="AO181">
        <v>-0.82296303810000004</v>
      </c>
      <c r="AP181">
        <v>0</v>
      </c>
      <c r="BI181">
        <v>0</v>
      </c>
      <c r="BU181">
        <v>-0.56809472169999997</v>
      </c>
      <c r="CJ181">
        <v>0.56809491980000004</v>
      </c>
      <c r="CL181">
        <v>-0.82296317480000003</v>
      </c>
    </row>
    <row r="182" spans="1:90" x14ac:dyDescent="0.25">
      <c r="A182" t="s">
        <v>488</v>
      </c>
      <c r="B182" t="s">
        <v>489</v>
      </c>
      <c r="C182">
        <v>1000</v>
      </c>
      <c r="D182" t="s">
        <v>111</v>
      </c>
      <c r="E182">
        <v>62.5</v>
      </c>
      <c r="G182">
        <v>25</v>
      </c>
      <c r="I182">
        <v>12.5</v>
      </c>
      <c r="J182">
        <f t="shared" si="4"/>
        <v>9.375</v>
      </c>
      <c r="K182">
        <f t="shared" si="5"/>
        <v>-0.90025605126853692</v>
      </c>
      <c r="L182">
        <v>30250.04178</v>
      </c>
      <c r="M182">
        <v>1</v>
      </c>
      <c r="R182">
        <v>41171.32735</v>
      </c>
      <c r="S182">
        <v>185790.6416</v>
      </c>
      <c r="AJ182">
        <v>0.82005578800000001</v>
      </c>
      <c r="AK182">
        <v>0</v>
      </c>
      <c r="AL182">
        <v>0</v>
      </c>
      <c r="AN182">
        <v>0.57228347570000004</v>
      </c>
      <c r="CH182">
        <v>-0.57228358749999997</v>
      </c>
      <c r="CI182">
        <v>0.82005586600000002</v>
      </c>
    </row>
    <row r="183" spans="1:90" x14ac:dyDescent="0.25">
      <c r="A183" t="s">
        <v>490</v>
      </c>
      <c r="B183" t="s">
        <v>491</v>
      </c>
      <c r="C183">
        <v>1000</v>
      </c>
      <c r="D183" t="s">
        <v>111</v>
      </c>
      <c r="E183">
        <v>50</v>
      </c>
      <c r="F183">
        <v>12.5</v>
      </c>
      <c r="G183">
        <v>25</v>
      </c>
      <c r="I183">
        <v>12.5</v>
      </c>
      <c r="J183">
        <f t="shared" si="4"/>
        <v>9</v>
      </c>
      <c r="K183">
        <f t="shared" si="5"/>
        <v>-1.2130075659799042</v>
      </c>
      <c r="L183">
        <v>28970.642370000001</v>
      </c>
      <c r="M183">
        <v>1</v>
      </c>
      <c r="R183">
        <v>39257.179609999999</v>
      </c>
      <c r="S183">
        <v>64102.317479999998</v>
      </c>
      <c r="Z183">
        <v>464959.53</v>
      </c>
      <c r="AI183">
        <v>0</v>
      </c>
      <c r="AJ183">
        <v>0.80105813950000004</v>
      </c>
      <c r="AK183">
        <v>-0.49501054760000002</v>
      </c>
      <c r="AL183">
        <v>-0.70671508400000005</v>
      </c>
      <c r="AM183">
        <v>0</v>
      </c>
      <c r="AN183">
        <v>-0.14585267969999999</v>
      </c>
      <c r="BL183">
        <v>0.50548540860000002</v>
      </c>
      <c r="BM183">
        <v>0</v>
      </c>
      <c r="BN183">
        <v>0.58054646330000004</v>
      </c>
      <c r="CH183">
        <v>-0.33655670389999998</v>
      </c>
      <c r="CI183">
        <v>0.69230108040000005</v>
      </c>
      <c r="CK183">
        <v>0.63831834190000003</v>
      </c>
    </row>
    <row r="184" spans="1:90" x14ac:dyDescent="0.25">
      <c r="A184" t="s">
        <v>492</v>
      </c>
      <c r="B184" t="s">
        <v>493</v>
      </c>
      <c r="C184">
        <v>1000</v>
      </c>
      <c r="D184" t="s">
        <v>111</v>
      </c>
      <c r="E184">
        <v>37.5</v>
      </c>
      <c r="F184">
        <v>25</v>
      </c>
      <c r="G184">
        <v>25</v>
      </c>
      <c r="I184">
        <v>12.5</v>
      </c>
      <c r="J184">
        <f t="shared" si="4"/>
        <v>8.625</v>
      </c>
      <c r="K184">
        <f t="shared" si="5"/>
        <v>-1.3208883431493221</v>
      </c>
      <c r="L184">
        <v>28974.81321</v>
      </c>
      <c r="M184">
        <v>1</v>
      </c>
      <c r="R184">
        <v>43724.048779999997</v>
      </c>
      <c r="S184">
        <v>61623.285490000002</v>
      </c>
      <c r="Z184">
        <v>325511.60399999999</v>
      </c>
      <c r="AI184">
        <v>0</v>
      </c>
      <c r="AJ184">
        <v>0.76614535780000004</v>
      </c>
      <c r="AK184">
        <v>-0.57751507830000004</v>
      </c>
      <c r="AL184">
        <v>0.67306776140000002</v>
      </c>
      <c r="AM184">
        <v>0</v>
      </c>
      <c r="AN184">
        <v>0.25138146290000002</v>
      </c>
      <c r="BL184">
        <v>0.46201312529999999</v>
      </c>
      <c r="BM184">
        <v>0</v>
      </c>
      <c r="BN184">
        <v>0.5914631414</v>
      </c>
      <c r="CH184">
        <v>-0.28195323210000001</v>
      </c>
      <c r="CI184">
        <v>-0.69554809220000002</v>
      </c>
      <c r="CK184">
        <v>0.66084432699999995</v>
      </c>
    </row>
    <row r="185" spans="1:90" x14ac:dyDescent="0.25">
      <c r="A185" t="s">
        <v>494</v>
      </c>
      <c r="B185" t="s">
        <v>495</v>
      </c>
      <c r="C185">
        <v>1000</v>
      </c>
      <c r="D185" t="s">
        <v>111</v>
      </c>
      <c r="E185">
        <v>25</v>
      </c>
      <c r="F185">
        <v>37.5</v>
      </c>
      <c r="G185">
        <v>25</v>
      </c>
      <c r="I185">
        <v>12.5</v>
      </c>
      <c r="J185">
        <f t="shared" si="4"/>
        <v>8.25</v>
      </c>
      <c r="K185">
        <f t="shared" si="5"/>
        <v>-1.3208883431493221</v>
      </c>
      <c r="L185">
        <v>30220.17512</v>
      </c>
      <c r="M185">
        <v>1</v>
      </c>
      <c r="R185">
        <v>50155.115039999997</v>
      </c>
      <c r="S185">
        <v>61166.480839999997</v>
      </c>
      <c r="Z185">
        <v>268554.87760000001</v>
      </c>
      <c r="AI185">
        <v>0</v>
      </c>
      <c r="AJ185">
        <v>0.60495294389999998</v>
      </c>
      <c r="AK185">
        <v>-0.79349908489999998</v>
      </c>
      <c r="AL185">
        <v>-0.4458279758</v>
      </c>
      <c r="AM185">
        <v>0</v>
      </c>
      <c r="AN185">
        <v>-0.50378437080000005</v>
      </c>
      <c r="BL185">
        <v>0.4142160399</v>
      </c>
      <c r="BM185">
        <v>0</v>
      </c>
      <c r="BN185">
        <v>0.61664636660000005</v>
      </c>
      <c r="CH185">
        <v>-6.6265661949999999E-2</v>
      </c>
      <c r="CI185">
        <v>0.73989102149999997</v>
      </c>
      <c r="CK185">
        <v>0.66945674310000003</v>
      </c>
    </row>
    <row r="186" spans="1:90" x14ac:dyDescent="0.25">
      <c r="A186" t="s">
        <v>496</v>
      </c>
      <c r="B186" t="s">
        <v>497</v>
      </c>
      <c r="C186">
        <v>1000</v>
      </c>
      <c r="D186" t="s">
        <v>111</v>
      </c>
      <c r="E186">
        <v>12.5</v>
      </c>
      <c r="F186">
        <v>50</v>
      </c>
      <c r="G186">
        <v>25</v>
      </c>
      <c r="I186">
        <v>12.5</v>
      </c>
      <c r="J186">
        <f t="shared" si="4"/>
        <v>7.875</v>
      </c>
      <c r="K186">
        <f t="shared" si="5"/>
        <v>-1.2130075659799042</v>
      </c>
      <c r="L186">
        <v>32249.88104</v>
      </c>
      <c r="M186">
        <v>1</v>
      </c>
      <c r="R186">
        <v>52015.739020000001</v>
      </c>
      <c r="S186">
        <v>79038.645380000002</v>
      </c>
      <c r="Z186">
        <v>250095.41630000001</v>
      </c>
      <c r="AI186">
        <v>0</v>
      </c>
      <c r="AJ186">
        <v>-0.12792990949999999</v>
      </c>
      <c r="AK186">
        <v>0.92781762189999994</v>
      </c>
      <c r="AL186">
        <v>-0.1673252418</v>
      </c>
      <c r="AM186">
        <v>0</v>
      </c>
      <c r="AN186">
        <v>0.69683081449999995</v>
      </c>
      <c r="BL186">
        <v>-0.33340174350000001</v>
      </c>
      <c r="BM186">
        <v>0</v>
      </c>
      <c r="BN186">
        <v>-0.7057341949</v>
      </c>
      <c r="CH186">
        <v>-0.35041175610000003</v>
      </c>
      <c r="CI186">
        <v>-0.69744467840000002</v>
      </c>
      <c r="CK186">
        <v>-0.62512600610000002</v>
      </c>
    </row>
    <row r="187" spans="1:90" x14ac:dyDescent="0.25">
      <c r="A187" t="s">
        <v>498</v>
      </c>
      <c r="B187" t="s">
        <v>499</v>
      </c>
      <c r="C187">
        <v>1000</v>
      </c>
      <c r="D187" t="s">
        <v>128</v>
      </c>
      <c r="F187">
        <v>62.5</v>
      </c>
      <c r="G187">
        <v>25</v>
      </c>
      <c r="I187">
        <v>12.5</v>
      </c>
      <c r="J187">
        <f t="shared" si="4"/>
        <v>7.5</v>
      </c>
      <c r="K187">
        <f t="shared" si="5"/>
        <v>-0.90025605126853692</v>
      </c>
      <c r="L187">
        <v>33802.535250000001</v>
      </c>
      <c r="N187">
        <v>1</v>
      </c>
      <c r="T187">
        <v>55547.70506</v>
      </c>
      <c r="Y187">
        <v>171922.8561</v>
      </c>
      <c r="AO187">
        <v>-0.9081308293</v>
      </c>
      <c r="AP187">
        <v>0</v>
      </c>
      <c r="BI187">
        <v>0</v>
      </c>
      <c r="BU187">
        <v>-0.4186871633</v>
      </c>
      <c r="CJ187">
        <v>0.4186865139</v>
      </c>
      <c r="CL187">
        <v>-0.90813052989999998</v>
      </c>
    </row>
    <row r="188" spans="1:90" x14ac:dyDescent="0.25">
      <c r="A188" t="s">
        <v>500</v>
      </c>
      <c r="B188" t="s">
        <v>501</v>
      </c>
      <c r="C188">
        <v>1000</v>
      </c>
      <c r="D188" t="s">
        <v>111</v>
      </c>
      <c r="E188">
        <v>50</v>
      </c>
      <c r="G188">
        <v>37.5</v>
      </c>
      <c r="I188">
        <v>12.5</v>
      </c>
      <c r="J188">
        <f t="shared" si="4"/>
        <v>9.125</v>
      </c>
      <c r="K188">
        <f t="shared" si="5"/>
        <v>-0.97431475286934943</v>
      </c>
      <c r="L188">
        <v>31147.539390000002</v>
      </c>
      <c r="M188">
        <v>1</v>
      </c>
      <c r="R188">
        <v>38608.296569999999</v>
      </c>
      <c r="S188">
        <v>150978.1397</v>
      </c>
      <c r="AJ188">
        <v>0.86366256320000001</v>
      </c>
      <c r="AK188">
        <v>0</v>
      </c>
      <c r="AL188">
        <v>0</v>
      </c>
      <c r="AN188">
        <v>0.5040688847</v>
      </c>
      <c r="CH188">
        <v>-0.50407040869999997</v>
      </c>
      <c r="CI188">
        <v>0.8636634527</v>
      </c>
    </row>
    <row r="189" spans="1:90" x14ac:dyDescent="0.25">
      <c r="A189" t="s">
        <v>502</v>
      </c>
      <c r="B189" t="s">
        <v>503</v>
      </c>
      <c r="C189">
        <v>1000</v>
      </c>
      <c r="D189" t="s">
        <v>111</v>
      </c>
      <c r="E189">
        <v>37.5</v>
      </c>
      <c r="F189">
        <v>12.5</v>
      </c>
      <c r="G189">
        <v>37.5</v>
      </c>
      <c r="I189">
        <v>12.5</v>
      </c>
      <c r="J189">
        <f t="shared" si="4"/>
        <v>8.75</v>
      </c>
      <c r="K189">
        <f t="shared" si="5"/>
        <v>-1.2554823251787535</v>
      </c>
      <c r="L189">
        <v>30441.72912</v>
      </c>
      <c r="M189">
        <v>1</v>
      </c>
      <c r="R189">
        <v>32851.241370000003</v>
      </c>
      <c r="S189">
        <v>59872.78757</v>
      </c>
      <c r="Z189">
        <v>458827.96600000001</v>
      </c>
      <c r="AI189">
        <v>0</v>
      </c>
      <c r="AJ189">
        <v>0.70713051400000004</v>
      </c>
      <c r="AK189">
        <v>-0.69129331419999995</v>
      </c>
      <c r="AL189">
        <v>-0.5378164366</v>
      </c>
      <c r="AM189">
        <v>0</v>
      </c>
      <c r="AN189">
        <v>-0.36619929670000001</v>
      </c>
      <c r="BL189">
        <v>0.48256298959999999</v>
      </c>
      <c r="BM189">
        <v>0</v>
      </c>
      <c r="BN189">
        <v>0.60486734720000002</v>
      </c>
      <c r="CH189">
        <v>-0.148593371</v>
      </c>
      <c r="CI189">
        <v>0.75937576709999999</v>
      </c>
      <c r="CK189">
        <v>0.63345753869999999</v>
      </c>
    </row>
    <row r="190" spans="1:90" x14ac:dyDescent="0.25">
      <c r="A190" t="s">
        <v>504</v>
      </c>
      <c r="B190" t="s">
        <v>505</v>
      </c>
      <c r="C190">
        <v>1000</v>
      </c>
      <c r="D190" t="s">
        <v>111</v>
      </c>
      <c r="E190">
        <v>25</v>
      </c>
      <c r="F190">
        <v>25</v>
      </c>
      <c r="G190">
        <v>37.5</v>
      </c>
      <c r="I190">
        <v>12.5</v>
      </c>
      <c r="J190">
        <f t="shared" si="4"/>
        <v>8.375</v>
      </c>
      <c r="K190">
        <f t="shared" si="5"/>
        <v>-1.3208883431493221</v>
      </c>
      <c r="L190">
        <v>30920.616590000001</v>
      </c>
      <c r="M190">
        <v>1</v>
      </c>
      <c r="R190">
        <v>36759.051729999999</v>
      </c>
      <c r="S190">
        <v>61061.547460000002</v>
      </c>
      <c r="Z190">
        <v>319735.5062</v>
      </c>
      <c r="AI190">
        <v>0</v>
      </c>
      <c r="AJ190">
        <v>0.55431191830000004</v>
      </c>
      <c r="AK190">
        <v>-0.83230569440000002</v>
      </c>
      <c r="AL190">
        <v>-0.3606090119</v>
      </c>
      <c r="AM190">
        <v>0</v>
      </c>
      <c r="AN190">
        <v>-0.53824847919999996</v>
      </c>
      <c r="BL190">
        <v>0.42097737680000002</v>
      </c>
      <c r="BM190">
        <v>0</v>
      </c>
      <c r="BN190">
        <v>0.63484960140000002</v>
      </c>
      <c r="CH190">
        <v>-2.3512300160000001E-3</v>
      </c>
      <c r="CI190">
        <v>0.76174123900000001</v>
      </c>
      <c r="CK190">
        <v>0.64787655600000005</v>
      </c>
    </row>
    <row r="191" spans="1:90" x14ac:dyDescent="0.25">
      <c r="A191" t="s">
        <v>506</v>
      </c>
      <c r="B191" t="s">
        <v>507</v>
      </c>
      <c r="C191">
        <v>1000</v>
      </c>
      <c r="D191" t="s">
        <v>111</v>
      </c>
      <c r="E191">
        <v>12.5</v>
      </c>
      <c r="F191">
        <v>37.5</v>
      </c>
      <c r="G191">
        <v>37.5</v>
      </c>
      <c r="I191">
        <v>12.5</v>
      </c>
      <c r="J191">
        <f t="shared" si="4"/>
        <v>8</v>
      </c>
      <c r="K191">
        <f t="shared" si="5"/>
        <v>-1.2554823251787535</v>
      </c>
      <c r="L191">
        <v>32454.997230000001</v>
      </c>
      <c r="M191">
        <v>1</v>
      </c>
      <c r="R191">
        <v>39928.242599999998</v>
      </c>
      <c r="S191">
        <v>76718.917549999998</v>
      </c>
      <c r="Z191">
        <v>279995.32909999997</v>
      </c>
      <c r="AI191">
        <v>0</v>
      </c>
      <c r="AJ191">
        <v>0.24843698359999999</v>
      </c>
      <c r="AK191">
        <v>-0.93944219480000002</v>
      </c>
      <c r="AL191">
        <v>-1.7915221299999999E-2</v>
      </c>
      <c r="AM191">
        <v>0</v>
      </c>
      <c r="AN191">
        <v>0.65230541320000002</v>
      </c>
      <c r="BL191">
        <v>0.34223876009999998</v>
      </c>
      <c r="BM191">
        <v>0</v>
      </c>
      <c r="BN191">
        <v>0.71608684140000001</v>
      </c>
      <c r="CH191">
        <v>0.23606657510000001</v>
      </c>
      <c r="CI191">
        <v>-0.75774447720000004</v>
      </c>
      <c r="CK191">
        <v>0.60835209109999999</v>
      </c>
    </row>
    <row r="192" spans="1:90" x14ac:dyDescent="0.25">
      <c r="A192" t="s">
        <v>508</v>
      </c>
      <c r="B192" t="s">
        <v>509</v>
      </c>
      <c r="C192">
        <v>1000</v>
      </c>
      <c r="D192" t="s">
        <v>111</v>
      </c>
      <c r="F192">
        <v>50</v>
      </c>
      <c r="G192">
        <v>37.5</v>
      </c>
      <c r="I192">
        <v>12.5</v>
      </c>
      <c r="J192">
        <f t="shared" si="4"/>
        <v>7.625</v>
      </c>
      <c r="K192">
        <f t="shared" si="5"/>
        <v>-0.97431475286934943</v>
      </c>
      <c r="L192">
        <v>34579.257989999998</v>
      </c>
      <c r="M192">
        <v>1</v>
      </c>
      <c r="R192">
        <v>38448.088790000002</v>
      </c>
      <c r="S192">
        <v>154776.57389999999</v>
      </c>
      <c r="AI192">
        <v>0</v>
      </c>
      <c r="AK192">
        <v>-0.9344706478</v>
      </c>
      <c r="AL192">
        <v>-0.35603978879999998</v>
      </c>
      <c r="AM192">
        <v>0</v>
      </c>
      <c r="CH192">
        <v>0.35604017809999999</v>
      </c>
      <c r="CI192">
        <v>-0.93447079609999995</v>
      </c>
    </row>
    <row r="193" spans="1:97" x14ac:dyDescent="0.25">
      <c r="A193" t="s">
        <v>510</v>
      </c>
      <c r="B193" t="s">
        <v>511</v>
      </c>
      <c r="C193">
        <v>1000</v>
      </c>
      <c r="D193" t="s">
        <v>111</v>
      </c>
      <c r="E193">
        <v>37.5</v>
      </c>
      <c r="G193">
        <v>50</v>
      </c>
      <c r="I193">
        <v>12.5</v>
      </c>
      <c r="J193">
        <f t="shared" si="4"/>
        <v>8.875</v>
      </c>
      <c r="K193">
        <f t="shared" si="5"/>
        <v>-0.97431475286934943</v>
      </c>
      <c r="L193">
        <v>32584.905500000001</v>
      </c>
      <c r="M193">
        <v>1</v>
      </c>
      <c r="R193">
        <v>37568.646050000003</v>
      </c>
      <c r="S193">
        <v>133999.31909999999</v>
      </c>
      <c r="AJ193">
        <v>0.89616335020000004</v>
      </c>
      <c r="AK193">
        <v>0</v>
      </c>
      <c r="AL193">
        <v>0</v>
      </c>
      <c r="AN193">
        <v>0.44372211820000002</v>
      </c>
      <c r="CH193">
        <v>-0.44372429470000002</v>
      </c>
      <c r="CI193">
        <v>0.89616442789999995</v>
      </c>
    </row>
    <row r="194" spans="1:97" x14ac:dyDescent="0.25">
      <c r="A194" t="s">
        <v>512</v>
      </c>
      <c r="B194" t="s">
        <v>513</v>
      </c>
      <c r="C194">
        <v>1000</v>
      </c>
      <c r="D194" t="s">
        <v>111</v>
      </c>
      <c r="E194">
        <v>25</v>
      </c>
      <c r="F194">
        <v>12.5</v>
      </c>
      <c r="G194">
        <v>50</v>
      </c>
      <c r="I194">
        <v>12.5</v>
      </c>
      <c r="J194">
        <f t="shared" si="4"/>
        <v>8.5</v>
      </c>
      <c r="K194">
        <f t="shared" si="5"/>
        <v>-1.2130075659799042</v>
      </c>
      <c r="L194">
        <v>32229.449130000001</v>
      </c>
      <c r="M194">
        <v>1</v>
      </c>
      <c r="R194">
        <v>29838.175800000001</v>
      </c>
      <c r="S194">
        <v>61580.919349999996</v>
      </c>
      <c r="Z194">
        <v>455629.95669999998</v>
      </c>
      <c r="AI194">
        <v>0</v>
      </c>
      <c r="AJ194">
        <v>0.60644418160000002</v>
      </c>
      <c r="AK194">
        <v>-0.79464898490000002</v>
      </c>
      <c r="AL194">
        <v>-0.39393751420000001</v>
      </c>
      <c r="AM194">
        <v>0</v>
      </c>
      <c r="AN194">
        <v>-0.48062133019999997</v>
      </c>
      <c r="BL194">
        <v>0.46189137499999999</v>
      </c>
      <c r="BM194">
        <v>0</v>
      </c>
      <c r="BN194">
        <v>0.63342818320000005</v>
      </c>
      <c r="CH194">
        <v>-2.7539889009999999E-2</v>
      </c>
      <c r="CI194">
        <v>0.78346433989999997</v>
      </c>
      <c r="CK194">
        <v>0.62082613870000003</v>
      </c>
    </row>
    <row r="195" spans="1:97" x14ac:dyDescent="0.25">
      <c r="A195" t="s">
        <v>514</v>
      </c>
      <c r="B195" t="s">
        <v>515</v>
      </c>
      <c r="C195">
        <v>1000</v>
      </c>
      <c r="D195" t="s">
        <v>111</v>
      </c>
      <c r="E195">
        <v>12.5</v>
      </c>
      <c r="F195">
        <v>25</v>
      </c>
      <c r="G195">
        <v>50</v>
      </c>
      <c r="I195">
        <v>12.5</v>
      </c>
      <c r="J195">
        <f t="shared" ref="J195:J258" si="6">((10*E195)/100)+((7*F195)/100)+((8*G195)/100)+((6*H195)/100)+((9*I195)/100)</f>
        <v>8.125</v>
      </c>
      <c r="K195">
        <f t="shared" ref="K195:K258" si="7">IF(ISBLANK(E195)=TRUE,0,(E195/100)*LN(E195/100))+IF(ISBLANK(F195)=TRUE,0,(F195/100)*LN(F195/100))+IF(ISBLANK(G195)=TRUE,0,(G195/100)*LN(G195/100))+IF(ISBLANK(H195)=TRUE,0,(H195/100)*LN(H195/100))+IF(ISBLANK(I195)=TRUE,0,(I195/100)*LN(I195/100))</f>
        <v>-1.2130075659799042</v>
      </c>
      <c r="L195">
        <v>33065.676780000002</v>
      </c>
      <c r="M195">
        <v>1</v>
      </c>
      <c r="R195">
        <v>34213.666550000002</v>
      </c>
      <c r="S195">
        <v>75092.632089999999</v>
      </c>
      <c r="Z195">
        <v>331192.91720000003</v>
      </c>
      <c r="AI195">
        <v>0</v>
      </c>
      <c r="AJ195">
        <v>-0.32973113199999998</v>
      </c>
      <c r="AK195">
        <v>0.92601701759999999</v>
      </c>
      <c r="AL195">
        <v>6.5152027079999994E-2</v>
      </c>
      <c r="AM195">
        <v>0</v>
      </c>
      <c r="AN195">
        <v>0.61913252409999997</v>
      </c>
      <c r="BL195">
        <v>-0.37181609719999997</v>
      </c>
      <c r="BM195">
        <v>0</v>
      </c>
      <c r="BN195">
        <v>-0.71270906450000004</v>
      </c>
      <c r="CH195">
        <v>-0.18376578499999999</v>
      </c>
      <c r="CI195">
        <v>-0.78257915320000004</v>
      </c>
      <c r="CK195">
        <v>-0.5948097</v>
      </c>
    </row>
    <row r="196" spans="1:97" x14ac:dyDescent="0.25">
      <c r="A196" t="s">
        <v>516</v>
      </c>
      <c r="B196" t="s">
        <v>517</v>
      </c>
      <c r="C196">
        <v>1000</v>
      </c>
      <c r="D196" t="s">
        <v>111</v>
      </c>
      <c r="F196">
        <v>37.5</v>
      </c>
      <c r="G196">
        <v>50</v>
      </c>
      <c r="I196">
        <v>12.5</v>
      </c>
      <c r="J196">
        <f t="shared" si="6"/>
        <v>7.75</v>
      </c>
      <c r="K196">
        <f t="shared" si="7"/>
        <v>-0.97431475286934943</v>
      </c>
      <c r="L196">
        <v>34767.946600000003</v>
      </c>
      <c r="M196">
        <v>1</v>
      </c>
      <c r="R196">
        <v>35829.273229999999</v>
      </c>
      <c r="S196">
        <v>163890.86610000001</v>
      </c>
      <c r="AI196">
        <v>0</v>
      </c>
      <c r="AK196">
        <v>-0.92809597870000005</v>
      </c>
      <c r="AL196">
        <v>-0.37234141879999999</v>
      </c>
      <c r="AM196">
        <v>0</v>
      </c>
      <c r="CH196">
        <v>0.37234104579999999</v>
      </c>
      <c r="CI196">
        <v>-0.92809582899999998</v>
      </c>
    </row>
    <row r="197" spans="1:97" x14ac:dyDescent="0.25">
      <c r="A197" t="s">
        <v>518</v>
      </c>
      <c r="B197" t="s">
        <v>519</v>
      </c>
      <c r="C197">
        <v>1000</v>
      </c>
      <c r="D197" t="s">
        <v>111</v>
      </c>
      <c r="E197">
        <v>25</v>
      </c>
      <c r="G197">
        <v>62.5</v>
      </c>
      <c r="I197">
        <v>12.5</v>
      </c>
      <c r="J197">
        <f t="shared" si="6"/>
        <v>8.625</v>
      </c>
      <c r="K197">
        <f t="shared" si="7"/>
        <v>-0.90025605126853692</v>
      </c>
      <c r="L197">
        <v>34126.98691</v>
      </c>
      <c r="M197">
        <v>1</v>
      </c>
      <c r="R197">
        <v>43489.492789999997</v>
      </c>
      <c r="S197">
        <v>128054.2641</v>
      </c>
      <c r="AJ197">
        <v>0.90064701570000005</v>
      </c>
      <c r="AK197">
        <v>0</v>
      </c>
      <c r="AL197">
        <v>0</v>
      </c>
      <c r="AN197">
        <v>0.43455094550000001</v>
      </c>
      <c r="CH197">
        <v>-0.43455143899999998</v>
      </c>
      <c r="CI197">
        <v>0.90064725379999999</v>
      </c>
    </row>
    <row r="198" spans="1:97" x14ac:dyDescent="0.25">
      <c r="A198" t="s">
        <v>520</v>
      </c>
      <c r="B198" t="s">
        <v>521</v>
      </c>
      <c r="C198">
        <v>1000</v>
      </c>
      <c r="D198" t="s">
        <v>111</v>
      </c>
      <c r="E198">
        <v>12.5</v>
      </c>
      <c r="F198">
        <v>12.5</v>
      </c>
      <c r="G198">
        <v>62.5</v>
      </c>
      <c r="I198">
        <v>12.5</v>
      </c>
      <c r="J198">
        <f t="shared" si="6"/>
        <v>8.25</v>
      </c>
      <c r="K198">
        <f t="shared" si="7"/>
        <v>-1.0735428464085233</v>
      </c>
      <c r="L198">
        <v>34087.34908</v>
      </c>
      <c r="M198">
        <v>1</v>
      </c>
      <c r="R198">
        <v>33333.276129999998</v>
      </c>
      <c r="S198">
        <v>73752.746249999997</v>
      </c>
      <c r="Z198">
        <v>464754.69880000001</v>
      </c>
      <c r="AI198">
        <v>0</v>
      </c>
      <c r="AJ198">
        <v>0.41288946900000001</v>
      </c>
      <c r="AK198">
        <v>-0.89418019900000001</v>
      </c>
      <c r="AL198">
        <v>0.12324826799999999</v>
      </c>
      <c r="AM198">
        <v>0</v>
      </c>
      <c r="AN198">
        <v>0.59871372639999998</v>
      </c>
      <c r="BL198">
        <v>-0.43040879609999999</v>
      </c>
      <c r="BM198">
        <v>0</v>
      </c>
      <c r="BN198">
        <v>-0.68634108140000005</v>
      </c>
      <c r="CH198">
        <v>0.17310129430000001</v>
      </c>
      <c r="CI198">
        <v>-0.79142386760000005</v>
      </c>
      <c r="CK198">
        <v>-0.58624584280000003</v>
      </c>
    </row>
    <row r="199" spans="1:97" x14ac:dyDescent="0.25">
      <c r="A199" t="s">
        <v>522</v>
      </c>
      <c r="B199" t="s">
        <v>523</v>
      </c>
      <c r="C199">
        <v>1000</v>
      </c>
      <c r="D199" t="s">
        <v>111</v>
      </c>
      <c r="F199">
        <v>25</v>
      </c>
      <c r="G199">
        <v>62.5</v>
      </c>
      <c r="I199">
        <v>12.5</v>
      </c>
      <c r="J199">
        <f t="shared" si="6"/>
        <v>7.875</v>
      </c>
      <c r="K199">
        <f t="shared" si="7"/>
        <v>-0.90025605126853692</v>
      </c>
      <c r="L199">
        <v>35166.912620000003</v>
      </c>
      <c r="M199">
        <v>1</v>
      </c>
      <c r="R199">
        <v>37338.020060000003</v>
      </c>
      <c r="S199">
        <v>185877.6372</v>
      </c>
      <c r="AI199">
        <v>0</v>
      </c>
      <c r="AK199">
        <v>-0.90637436309999997</v>
      </c>
      <c r="AL199">
        <v>-0.4224755362</v>
      </c>
      <c r="AM199">
        <v>0</v>
      </c>
      <c r="CH199">
        <v>0.42247545939999998</v>
      </c>
      <c r="CI199">
        <v>-0.90637432740000001</v>
      </c>
    </row>
    <row r="200" spans="1:97" x14ac:dyDescent="0.25">
      <c r="A200" t="s">
        <v>524</v>
      </c>
      <c r="B200" t="s">
        <v>525</v>
      </c>
      <c r="C200">
        <v>1000</v>
      </c>
      <c r="D200" t="s">
        <v>111</v>
      </c>
      <c r="E200">
        <v>12.5</v>
      </c>
      <c r="G200">
        <v>75</v>
      </c>
      <c r="I200">
        <v>12.5</v>
      </c>
      <c r="J200">
        <f t="shared" si="6"/>
        <v>8.375</v>
      </c>
      <c r="K200">
        <f t="shared" si="7"/>
        <v>-0.73562193975879464</v>
      </c>
      <c r="L200">
        <v>35524.455719999998</v>
      </c>
      <c r="M200">
        <v>1</v>
      </c>
      <c r="R200">
        <v>71104.873779999994</v>
      </c>
      <c r="S200">
        <v>133643.1783</v>
      </c>
      <c r="AJ200">
        <v>0.79530553989999997</v>
      </c>
      <c r="AK200">
        <v>0</v>
      </c>
      <c r="AL200">
        <v>0</v>
      </c>
      <c r="AN200">
        <v>0.60620887859999995</v>
      </c>
      <c r="CH200">
        <v>-0.60620879090000002</v>
      </c>
      <c r="CI200">
        <v>0.79530547309999999</v>
      </c>
    </row>
    <row r="201" spans="1:97" x14ac:dyDescent="0.25">
      <c r="A201" t="s">
        <v>526</v>
      </c>
      <c r="B201" t="s">
        <v>527</v>
      </c>
      <c r="C201">
        <v>1000</v>
      </c>
      <c r="D201" t="s">
        <v>111</v>
      </c>
      <c r="F201">
        <v>12.5</v>
      </c>
      <c r="G201">
        <v>75</v>
      </c>
      <c r="I201">
        <v>12.5</v>
      </c>
      <c r="J201">
        <f t="shared" si="6"/>
        <v>8</v>
      </c>
      <c r="K201">
        <f t="shared" si="7"/>
        <v>-0.73562193975879464</v>
      </c>
      <c r="L201">
        <v>35782.176950000001</v>
      </c>
      <c r="M201">
        <v>1</v>
      </c>
      <c r="R201">
        <v>43166.553019999999</v>
      </c>
      <c r="S201">
        <v>261459.34710000001</v>
      </c>
      <c r="AI201">
        <v>0</v>
      </c>
      <c r="AK201">
        <v>-0.84994017470000005</v>
      </c>
      <c r="AL201">
        <v>-0.52687926090000003</v>
      </c>
      <c r="AM201">
        <v>0</v>
      </c>
      <c r="CH201">
        <v>0.52687920759999995</v>
      </c>
      <c r="CI201">
        <v>-0.84994014169999998</v>
      </c>
    </row>
    <row r="202" spans="1:97" x14ac:dyDescent="0.25">
      <c r="A202" t="s">
        <v>528</v>
      </c>
      <c r="B202" t="s">
        <v>529</v>
      </c>
      <c r="C202">
        <v>1000</v>
      </c>
      <c r="D202" t="s">
        <v>111</v>
      </c>
      <c r="G202">
        <v>87.5</v>
      </c>
      <c r="I202">
        <v>12.5</v>
      </c>
      <c r="J202">
        <f t="shared" si="6"/>
        <v>8.125</v>
      </c>
      <c r="K202">
        <f t="shared" si="7"/>
        <v>-0.37677016125643675</v>
      </c>
      <c r="L202">
        <v>36620.254260000002</v>
      </c>
      <c r="M202">
        <v>1</v>
      </c>
      <c r="R202">
        <v>109560.9807</v>
      </c>
      <c r="AK202">
        <v>0</v>
      </c>
      <c r="CH202">
        <v>1</v>
      </c>
    </row>
    <row r="203" spans="1:97" x14ac:dyDescent="0.25">
      <c r="A203" t="s">
        <v>530</v>
      </c>
      <c r="B203" t="s">
        <v>531</v>
      </c>
      <c r="C203">
        <v>1000</v>
      </c>
      <c r="D203" t="s">
        <v>111</v>
      </c>
      <c r="E203">
        <v>75</v>
      </c>
      <c r="H203">
        <v>12.5</v>
      </c>
      <c r="I203">
        <v>12.5</v>
      </c>
      <c r="J203">
        <f t="shared" si="6"/>
        <v>9.375</v>
      </c>
      <c r="K203">
        <f t="shared" si="7"/>
        <v>-0.73562193975879464</v>
      </c>
      <c r="L203">
        <v>30497.84662</v>
      </c>
      <c r="M203">
        <v>1</v>
      </c>
      <c r="R203">
        <v>44860.404260000003</v>
      </c>
      <c r="S203">
        <v>415836.48700000002</v>
      </c>
      <c r="AJ203">
        <v>0.80304226410000001</v>
      </c>
      <c r="AN203">
        <v>0.59592186520000001</v>
      </c>
      <c r="AS203">
        <v>0</v>
      </c>
      <c r="AT203">
        <v>0</v>
      </c>
      <c r="CH203">
        <v>-0.5959220771</v>
      </c>
      <c r="CI203">
        <v>0.80304242140000004</v>
      </c>
    </row>
    <row r="204" spans="1:97" x14ac:dyDescent="0.25">
      <c r="A204" t="s">
        <v>532</v>
      </c>
      <c r="B204" t="s">
        <v>533</v>
      </c>
      <c r="C204">
        <v>1000</v>
      </c>
      <c r="D204" t="s">
        <v>111</v>
      </c>
      <c r="E204">
        <v>62.5</v>
      </c>
      <c r="F204">
        <v>12.5</v>
      </c>
      <c r="H204">
        <v>12.5</v>
      </c>
      <c r="I204">
        <v>12.5</v>
      </c>
      <c r="J204">
        <f t="shared" si="6"/>
        <v>9</v>
      </c>
      <c r="K204">
        <f t="shared" si="7"/>
        <v>-1.0735428464085233</v>
      </c>
      <c r="L204">
        <v>28549.944200000002</v>
      </c>
      <c r="M204">
        <v>1</v>
      </c>
      <c r="R204">
        <v>44337.18204</v>
      </c>
      <c r="S204">
        <v>100463.7173</v>
      </c>
      <c r="Z204">
        <v>427635.20419999998</v>
      </c>
      <c r="AI204">
        <v>-9.7901764399999994E-2</v>
      </c>
      <c r="AJ204">
        <v>0.83243646500000001</v>
      </c>
      <c r="AM204">
        <v>0.93128810269999995</v>
      </c>
      <c r="AN204">
        <v>-0.1165918162</v>
      </c>
      <c r="AS204">
        <v>0</v>
      </c>
      <c r="AT204">
        <v>0</v>
      </c>
      <c r="BK204">
        <v>0</v>
      </c>
      <c r="BM204">
        <v>-0.35088132760000001</v>
      </c>
      <c r="BN204">
        <v>-0.54171522449999998</v>
      </c>
      <c r="CH204">
        <v>-0.54540331519999996</v>
      </c>
      <c r="CI204">
        <v>-0.34512145430000002</v>
      </c>
      <c r="CK204">
        <v>-0.76382387340000002</v>
      </c>
    </row>
    <row r="205" spans="1:97" x14ac:dyDescent="0.25">
      <c r="A205" t="s">
        <v>534</v>
      </c>
      <c r="B205" t="s">
        <v>535</v>
      </c>
      <c r="C205">
        <v>1000</v>
      </c>
      <c r="D205" t="s">
        <v>111</v>
      </c>
      <c r="E205">
        <v>50</v>
      </c>
      <c r="F205">
        <v>25</v>
      </c>
      <c r="H205">
        <v>12.5</v>
      </c>
      <c r="I205">
        <v>12.5</v>
      </c>
      <c r="J205">
        <f t="shared" si="6"/>
        <v>8.625</v>
      </c>
      <c r="K205">
        <f t="shared" si="7"/>
        <v>-1.2130075659799042</v>
      </c>
      <c r="L205">
        <v>28178.733990000001</v>
      </c>
      <c r="M205">
        <v>1</v>
      </c>
      <c r="R205">
        <v>44103.392679999997</v>
      </c>
      <c r="S205">
        <v>64696.536610000003</v>
      </c>
      <c r="Z205">
        <v>400796.00569999998</v>
      </c>
      <c r="AI205">
        <v>-0.1543349275</v>
      </c>
      <c r="AJ205">
        <v>0.85384787019999997</v>
      </c>
      <c r="AM205">
        <v>0.92600551620000005</v>
      </c>
      <c r="AN205">
        <v>-5.0440615139999999E-2</v>
      </c>
      <c r="AS205">
        <v>0</v>
      </c>
      <c r="AT205">
        <v>0</v>
      </c>
      <c r="BK205">
        <v>0</v>
      </c>
      <c r="BM205">
        <v>0.34452069749999997</v>
      </c>
      <c r="BN205">
        <v>0.51807292829999996</v>
      </c>
      <c r="CH205">
        <v>-0.49711622849999998</v>
      </c>
      <c r="CI205">
        <v>-0.3741250169</v>
      </c>
      <c r="CK205">
        <v>0.78288308829999997</v>
      </c>
    </row>
    <row r="206" spans="1:97" x14ac:dyDescent="0.25">
      <c r="A206" t="s">
        <v>536</v>
      </c>
      <c r="B206" t="s">
        <v>537</v>
      </c>
      <c r="C206">
        <v>1000</v>
      </c>
      <c r="D206" t="s">
        <v>111</v>
      </c>
      <c r="E206">
        <v>37.5</v>
      </c>
      <c r="F206">
        <v>37.5</v>
      </c>
      <c r="H206">
        <v>12.5</v>
      </c>
      <c r="I206">
        <v>12.5</v>
      </c>
      <c r="J206">
        <f t="shared" si="6"/>
        <v>8.25</v>
      </c>
      <c r="K206">
        <f t="shared" si="7"/>
        <v>-1.2554823251787537</v>
      </c>
      <c r="L206">
        <v>28917.955870000002</v>
      </c>
      <c r="M206">
        <v>1</v>
      </c>
      <c r="R206">
        <v>44772.505129999998</v>
      </c>
      <c r="S206">
        <v>54248.250520000001</v>
      </c>
      <c r="Z206">
        <v>379310.23349999997</v>
      </c>
      <c r="AI206">
        <v>-0.15583744469999999</v>
      </c>
      <c r="AJ206">
        <v>0.87075702529999999</v>
      </c>
      <c r="AM206">
        <v>0.91972112849999998</v>
      </c>
      <c r="AN206">
        <v>-4.4312201699999998E-2</v>
      </c>
      <c r="AS206">
        <v>0</v>
      </c>
      <c r="AT206">
        <v>0</v>
      </c>
      <c r="BK206">
        <v>0</v>
      </c>
      <c r="BM206">
        <v>0.36031615430000002</v>
      </c>
      <c r="BN206">
        <v>0.48971280519999999</v>
      </c>
      <c r="CH206">
        <v>-0.46636562240000001</v>
      </c>
      <c r="CI206">
        <v>-0.39006342379999998</v>
      </c>
      <c r="CK206">
        <v>0.79394813269999998</v>
      </c>
    </row>
    <row r="207" spans="1:97" x14ac:dyDescent="0.25">
      <c r="A207" t="s">
        <v>538</v>
      </c>
      <c r="B207" t="s">
        <v>539</v>
      </c>
      <c r="C207">
        <v>1000</v>
      </c>
      <c r="D207" t="s">
        <v>111</v>
      </c>
      <c r="E207">
        <v>25</v>
      </c>
      <c r="F207">
        <v>50</v>
      </c>
      <c r="H207">
        <v>12.5</v>
      </c>
      <c r="I207">
        <v>12.5</v>
      </c>
      <c r="J207">
        <f t="shared" si="6"/>
        <v>7.875</v>
      </c>
      <c r="K207">
        <f t="shared" si="7"/>
        <v>-1.2130075659799042</v>
      </c>
      <c r="L207">
        <v>30300.851210000001</v>
      </c>
      <c r="M207">
        <v>1</v>
      </c>
      <c r="R207">
        <v>49306.526890000001</v>
      </c>
      <c r="S207">
        <v>50814.150930000003</v>
      </c>
      <c r="Z207">
        <v>361592.04509999999</v>
      </c>
      <c r="AI207">
        <v>0.20414960730000001</v>
      </c>
      <c r="AJ207">
        <v>0.80089481110000005</v>
      </c>
      <c r="AM207">
        <v>-0.90257966869999995</v>
      </c>
      <c r="AN207">
        <v>0.3766599658</v>
      </c>
      <c r="AS207">
        <v>0</v>
      </c>
      <c r="AT207">
        <v>0</v>
      </c>
      <c r="BK207">
        <v>0</v>
      </c>
      <c r="BM207">
        <v>-0.3790282304</v>
      </c>
      <c r="BN207">
        <v>-0.46552194930000002</v>
      </c>
      <c r="CH207">
        <v>-0.56293022599999998</v>
      </c>
      <c r="CI207">
        <v>0.20851189840000001</v>
      </c>
      <c r="CK207">
        <v>-0.79976678800000001</v>
      </c>
    </row>
    <row r="208" spans="1:97" x14ac:dyDescent="0.25">
      <c r="A208" t="s">
        <v>540</v>
      </c>
      <c r="B208" t="s">
        <v>541</v>
      </c>
      <c r="C208">
        <v>1000</v>
      </c>
      <c r="D208" t="s">
        <v>542</v>
      </c>
      <c r="E208">
        <v>12.5</v>
      </c>
      <c r="F208">
        <v>62.5</v>
      </c>
      <c r="H208">
        <v>12.5</v>
      </c>
      <c r="I208">
        <v>12.5</v>
      </c>
      <c r="J208">
        <f t="shared" si="6"/>
        <v>7.5</v>
      </c>
      <c r="K208">
        <f t="shared" si="7"/>
        <v>-1.0735428464085233</v>
      </c>
      <c r="L208">
        <v>31701.57086</v>
      </c>
      <c r="M208">
        <v>0.86030893580000001</v>
      </c>
      <c r="N208">
        <v>0.11900706580000001</v>
      </c>
      <c r="P208">
        <v>2.0683998419999999E-2</v>
      </c>
      <c r="R208">
        <v>50238.955529999999</v>
      </c>
      <c r="S208">
        <v>72515.277499999997</v>
      </c>
      <c r="T208">
        <v>65311.157019999999</v>
      </c>
      <c r="W208">
        <v>55982.921419999999</v>
      </c>
      <c r="X208">
        <v>151051.69219999999</v>
      </c>
      <c r="Y208">
        <v>99252.068939999997</v>
      </c>
      <c r="Z208">
        <v>358795.87310000003</v>
      </c>
      <c r="AA208">
        <v>489906.43180000002</v>
      </c>
      <c r="AE208">
        <v>403489.6545</v>
      </c>
      <c r="AI208">
        <v>-0.88726720540000004</v>
      </c>
      <c r="AJ208">
        <v>-2.4877521350000001E-2</v>
      </c>
      <c r="AM208">
        <v>-0.2379082579</v>
      </c>
      <c r="AN208">
        <v>0.88015214880000003</v>
      </c>
      <c r="AP208">
        <v>-0.78235361650000002</v>
      </c>
      <c r="AS208">
        <v>0</v>
      </c>
      <c r="AT208">
        <v>0</v>
      </c>
      <c r="AZ208">
        <v>0</v>
      </c>
      <c r="BA208">
        <v>0.93727389569999997</v>
      </c>
      <c r="BB208">
        <v>-0.1199676053</v>
      </c>
      <c r="BC208">
        <v>0</v>
      </c>
      <c r="BD208">
        <v>-0.1779292908</v>
      </c>
      <c r="BE208">
        <v>0.64275603510000001</v>
      </c>
      <c r="BF208">
        <v>0</v>
      </c>
      <c r="BG208">
        <v>-0.19332419149999999</v>
      </c>
      <c r="BH208">
        <v>0</v>
      </c>
      <c r="BI208">
        <v>0.44035323920000002</v>
      </c>
      <c r="BJ208">
        <v>-0.84395877470000003</v>
      </c>
      <c r="BK208">
        <v>0</v>
      </c>
      <c r="BM208">
        <v>-0.39516485229999998</v>
      </c>
      <c r="BN208">
        <v>-0.47403952640000002</v>
      </c>
      <c r="BQ208">
        <v>0</v>
      </c>
      <c r="BS208">
        <v>-0.29976460150000001</v>
      </c>
      <c r="BT208">
        <v>-0.75661910320000003</v>
      </c>
      <c r="CH208">
        <v>0.46058442789999998</v>
      </c>
      <c r="CI208">
        <v>-0.41076983309999998</v>
      </c>
      <c r="CJ208">
        <v>0.5920714279</v>
      </c>
      <c r="CK208">
        <v>-0.78684894800000005</v>
      </c>
      <c r="CL208">
        <v>0.30630476880000002</v>
      </c>
      <c r="CM208">
        <v>0.74540513320000001</v>
      </c>
      <c r="CN208">
        <v>0</v>
      </c>
      <c r="CO208">
        <v>0.44046775539999999</v>
      </c>
      <c r="CP208">
        <v>0.50035921480000001</v>
      </c>
      <c r="CQ208">
        <v>-0.32730019560000001</v>
      </c>
      <c r="CR208">
        <v>-0.74512136380000005</v>
      </c>
      <c r="CS208">
        <v>-0.5810926917</v>
      </c>
    </row>
    <row r="209" spans="1:103" x14ac:dyDescent="0.25">
      <c r="A209" t="s">
        <v>543</v>
      </c>
      <c r="B209" t="s">
        <v>544</v>
      </c>
      <c r="C209">
        <v>1000</v>
      </c>
      <c r="D209" t="s">
        <v>128</v>
      </c>
      <c r="F209">
        <v>75</v>
      </c>
      <c r="H209">
        <v>12.5</v>
      </c>
      <c r="I209">
        <v>12.5</v>
      </c>
      <c r="J209">
        <f t="shared" si="6"/>
        <v>7.125</v>
      </c>
      <c r="K209">
        <f t="shared" si="7"/>
        <v>-0.73562193975879464</v>
      </c>
      <c r="L209">
        <v>31469.514139999999</v>
      </c>
      <c r="N209">
        <v>1</v>
      </c>
      <c r="T209">
        <v>62561.869460000002</v>
      </c>
      <c r="Y209">
        <v>340231.47470000002</v>
      </c>
      <c r="AP209">
        <v>-0.86190771340000005</v>
      </c>
      <c r="BF209">
        <v>0</v>
      </c>
      <c r="BH209">
        <v>0</v>
      </c>
      <c r="BI209">
        <v>-0.50706536520000001</v>
      </c>
      <c r="CJ209">
        <v>0.50706517679999996</v>
      </c>
      <c r="CL209">
        <v>-0.86190760259999999</v>
      </c>
    </row>
    <row r="210" spans="1:103" x14ac:dyDescent="0.25">
      <c r="A210" t="s">
        <v>545</v>
      </c>
      <c r="B210" t="s">
        <v>546</v>
      </c>
      <c r="C210">
        <v>1000</v>
      </c>
      <c r="D210" t="s">
        <v>111</v>
      </c>
      <c r="E210">
        <v>62.5</v>
      </c>
      <c r="G210">
        <v>12.5</v>
      </c>
      <c r="H210">
        <v>12.5</v>
      </c>
      <c r="I210">
        <v>12.5</v>
      </c>
      <c r="J210">
        <f t="shared" si="6"/>
        <v>9.125</v>
      </c>
      <c r="K210">
        <f t="shared" si="7"/>
        <v>-1.0735428464085233</v>
      </c>
      <c r="L210">
        <v>31139.79866</v>
      </c>
      <c r="M210">
        <v>1</v>
      </c>
      <c r="R210">
        <v>42127.156949999997</v>
      </c>
      <c r="S210">
        <v>86312.141520000005</v>
      </c>
      <c r="Z210">
        <v>504595.34129999997</v>
      </c>
      <c r="AJ210">
        <v>0.84389605239999999</v>
      </c>
      <c r="AK210">
        <v>-0.18388171219999999</v>
      </c>
      <c r="AL210">
        <v>-0.84414128030000002</v>
      </c>
      <c r="AN210">
        <v>0.12712516909999999</v>
      </c>
      <c r="AS210">
        <v>0</v>
      </c>
      <c r="AT210">
        <v>0</v>
      </c>
      <c r="BK210">
        <v>0</v>
      </c>
      <c r="BL210">
        <v>-0.50359938150000005</v>
      </c>
      <c r="BN210">
        <v>-0.52122770780000005</v>
      </c>
      <c r="CH210">
        <v>-0.50401088149999995</v>
      </c>
      <c r="CI210">
        <v>0.52083076930000005</v>
      </c>
      <c r="CK210">
        <v>-0.68899153810000002</v>
      </c>
    </row>
    <row r="211" spans="1:103" x14ac:dyDescent="0.25">
      <c r="A211" t="s">
        <v>547</v>
      </c>
      <c r="B211" t="s">
        <v>548</v>
      </c>
      <c r="C211">
        <v>1000</v>
      </c>
      <c r="D211" t="s">
        <v>111</v>
      </c>
      <c r="E211">
        <v>50</v>
      </c>
      <c r="F211">
        <v>12.5</v>
      </c>
      <c r="G211">
        <v>12.5</v>
      </c>
      <c r="H211">
        <v>12.5</v>
      </c>
      <c r="I211">
        <v>12.5</v>
      </c>
      <c r="J211">
        <f t="shared" si="6"/>
        <v>8.75</v>
      </c>
      <c r="K211">
        <f t="shared" si="7"/>
        <v>-1.3862943611198906</v>
      </c>
      <c r="L211">
        <v>29819.713629999998</v>
      </c>
      <c r="M211">
        <v>1</v>
      </c>
      <c r="R211">
        <v>43532.713680000001</v>
      </c>
      <c r="S211">
        <v>85981.461550000007</v>
      </c>
      <c r="Z211">
        <v>105197.55319999999</v>
      </c>
      <c r="AF211">
        <v>524739.65590000001</v>
      </c>
      <c r="AI211">
        <v>-3.909791252E-2</v>
      </c>
      <c r="AJ211">
        <v>0.85955784319999995</v>
      </c>
      <c r="AK211">
        <v>-0.14386998679999999</v>
      </c>
      <c r="AL211">
        <v>0.84847642629999998</v>
      </c>
      <c r="AM211">
        <v>-4.146872184E-2</v>
      </c>
      <c r="AN211">
        <v>-0.14788022440000001</v>
      </c>
      <c r="AS211">
        <v>0</v>
      </c>
      <c r="AT211">
        <v>0</v>
      </c>
      <c r="BK211">
        <v>0</v>
      </c>
      <c r="BL211">
        <v>0.14112460360000001</v>
      </c>
      <c r="BM211">
        <v>-0.94157595250000004</v>
      </c>
      <c r="BN211">
        <v>0.13643142429999999</v>
      </c>
      <c r="CH211">
        <v>-0.48880782969999997</v>
      </c>
      <c r="CI211">
        <v>-0.50645783470000005</v>
      </c>
      <c r="CK211">
        <v>0.2736878485</v>
      </c>
      <c r="CT211">
        <v>-0.65548633150000002</v>
      </c>
      <c r="CU211">
        <v>0</v>
      </c>
      <c r="CV211">
        <v>-0.4893598119</v>
      </c>
      <c r="CW211">
        <v>-0.33194340259999999</v>
      </c>
      <c r="CX211">
        <v>-0.4697640058</v>
      </c>
    </row>
    <row r="212" spans="1:103" x14ac:dyDescent="0.25">
      <c r="A212" t="s">
        <v>549</v>
      </c>
      <c r="B212" t="s">
        <v>550</v>
      </c>
      <c r="C212">
        <v>1000</v>
      </c>
      <c r="D212" t="s">
        <v>111</v>
      </c>
      <c r="E212">
        <v>37.5</v>
      </c>
      <c r="F212">
        <v>25</v>
      </c>
      <c r="G212">
        <v>12.5</v>
      </c>
      <c r="H212">
        <v>12.5</v>
      </c>
      <c r="I212">
        <v>12.5</v>
      </c>
      <c r="J212">
        <f t="shared" si="6"/>
        <v>8.375</v>
      </c>
      <c r="K212">
        <f t="shared" si="7"/>
        <v>-1.4941751382893085</v>
      </c>
      <c r="L212">
        <v>29875.745859999999</v>
      </c>
      <c r="M212">
        <v>1</v>
      </c>
      <c r="R212">
        <v>45802.675949999997</v>
      </c>
      <c r="S212">
        <v>66870.190669999996</v>
      </c>
      <c r="Z212">
        <v>86610.606090000001</v>
      </c>
      <c r="AF212">
        <v>498911.79790000001</v>
      </c>
      <c r="AI212">
        <v>-1.2117286220000001E-2</v>
      </c>
      <c r="AJ212">
        <v>0.86359307360000004</v>
      </c>
      <c r="AK212">
        <v>-0.10365338139999999</v>
      </c>
      <c r="AL212">
        <v>0.31579190210000002</v>
      </c>
      <c r="AM212">
        <v>-0.92987324630000001</v>
      </c>
      <c r="AN212">
        <v>0.1117231439</v>
      </c>
      <c r="AS212">
        <v>0</v>
      </c>
      <c r="AT212">
        <v>0</v>
      </c>
      <c r="BK212">
        <v>0</v>
      </c>
      <c r="BL212">
        <v>-0.79717034379999996</v>
      </c>
      <c r="BM212">
        <v>-0.15638463129999999</v>
      </c>
      <c r="BN212">
        <v>0.21234341139999999</v>
      </c>
      <c r="CH212">
        <v>-0.49327086999999997</v>
      </c>
      <c r="CI212">
        <v>0.15208273889999999</v>
      </c>
      <c r="CK212">
        <v>0.54311468929999995</v>
      </c>
      <c r="CT212">
        <v>-0.66225457359999995</v>
      </c>
      <c r="CU212">
        <v>0</v>
      </c>
      <c r="CV212">
        <v>-0.50403462369999996</v>
      </c>
      <c r="CW212">
        <v>-0.33276532349999999</v>
      </c>
      <c r="CX212">
        <v>-0.44343569690000001</v>
      </c>
    </row>
    <row r="213" spans="1:103" x14ac:dyDescent="0.25">
      <c r="A213" t="s">
        <v>551</v>
      </c>
      <c r="B213" t="s">
        <v>552</v>
      </c>
      <c r="C213">
        <v>1000</v>
      </c>
      <c r="D213" t="s">
        <v>111</v>
      </c>
      <c r="E213">
        <v>25</v>
      </c>
      <c r="F213">
        <v>37.5</v>
      </c>
      <c r="G213">
        <v>12.5</v>
      </c>
      <c r="H213">
        <v>12.5</v>
      </c>
      <c r="I213">
        <v>12.5</v>
      </c>
      <c r="J213">
        <f t="shared" si="6"/>
        <v>8</v>
      </c>
      <c r="K213">
        <f t="shared" si="7"/>
        <v>-1.4941751382893085</v>
      </c>
      <c r="L213">
        <v>30843.754639999999</v>
      </c>
      <c r="M213">
        <v>1</v>
      </c>
      <c r="R213">
        <v>51234.297870000002</v>
      </c>
      <c r="S213">
        <v>54631.366820000003</v>
      </c>
      <c r="Z213">
        <v>88148.999800000005</v>
      </c>
      <c r="AF213">
        <v>478815.84590000001</v>
      </c>
      <c r="AI213">
        <v>0.35112558269999999</v>
      </c>
      <c r="AJ213">
        <v>0.75084021489999997</v>
      </c>
      <c r="AK213">
        <v>-0.15499025089999999</v>
      </c>
      <c r="AL213">
        <v>-0.31260749339999999</v>
      </c>
      <c r="AM213">
        <v>0.84980281729999996</v>
      </c>
      <c r="AN213">
        <v>-0.42041412290000002</v>
      </c>
      <c r="AS213">
        <v>0</v>
      </c>
      <c r="AT213">
        <v>0</v>
      </c>
      <c r="BK213">
        <v>0</v>
      </c>
      <c r="BL213">
        <v>-0.78324611020000001</v>
      </c>
      <c r="BM213">
        <v>-0.17856241640000001</v>
      </c>
      <c r="BN213">
        <v>0.29298506149999998</v>
      </c>
      <c r="CH213">
        <v>-0.53752006389999996</v>
      </c>
      <c r="CI213">
        <v>5.7997344770000001E-2</v>
      </c>
      <c r="CK213">
        <v>0.51845997730000004</v>
      </c>
      <c r="CT213">
        <v>-0.66250111950000001</v>
      </c>
      <c r="CU213">
        <v>0</v>
      </c>
      <c r="CV213">
        <v>-0.51456789380000001</v>
      </c>
      <c r="CW213">
        <v>-0.35023062700000002</v>
      </c>
      <c r="CX213">
        <v>-0.41671411949999998</v>
      </c>
    </row>
    <row r="214" spans="1:103" x14ac:dyDescent="0.25">
      <c r="A214" t="s">
        <v>553</v>
      </c>
      <c r="B214" t="s">
        <v>554</v>
      </c>
      <c r="C214">
        <v>1000</v>
      </c>
      <c r="D214" t="s">
        <v>111</v>
      </c>
      <c r="E214">
        <v>12.5</v>
      </c>
      <c r="F214">
        <v>50</v>
      </c>
      <c r="G214">
        <v>12.5</v>
      </c>
      <c r="H214">
        <v>12.5</v>
      </c>
      <c r="I214">
        <v>12.5</v>
      </c>
      <c r="J214">
        <f t="shared" si="6"/>
        <v>7.625</v>
      </c>
      <c r="K214">
        <f t="shared" si="7"/>
        <v>-1.3862943611198906</v>
      </c>
      <c r="L214">
        <v>32257.56322</v>
      </c>
      <c r="M214">
        <v>1</v>
      </c>
      <c r="R214">
        <v>47238.216560000001</v>
      </c>
      <c r="S214">
        <v>72220.902600000001</v>
      </c>
      <c r="Z214">
        <v>98498.286819999994</v>
      </c>
      <c r="AF214">
        <v>465415.23580000002</v>
      </c>
      <c r="AI214">
        <v>-0.89987423740000005</v>
      </c>
      <c r="AJ214">
        <v>-2.0312290340000001E-3</v>
      </c>
      <c r="AK214">
        <v>0.38806666020000002</v>
      </c>
      <c r="AL214">
        <v>0.35775759779999999</v>
      </c>
      <c r="AM214">
        <v>1.6090004449999999E-3</v>
      </c>
      <c r="AN214">
        <v>0.63607638479999995</v>
      </c>
      <c r="AS214">
        <v>0</v>
      </c>
      <c r="AT214">
        <v>0</v>
      </c>
      <c r="BK214">
        <v>0</v>
      </c>
      <c r="BL214">
        <v>-0.67285871129999997</v>
      </c>
      <c r="BM214">
        <v>-0.23519111130000001</v>
      </c>
      <c r="BN214">
        <v>0.65332066509999998</v>
      </c>
      <c r="CH214">
        <v>0.1990640555</v>
      </c>
      <c r="CI214">
        <v>-0.68367663769999998</v>
      </c>
      <c r="CK214">
        <v>0.25518308000000001</v>
      </c>
      <c r="CT214">
        <v>-0.65409607729999997</v>
      </c>
      <c r="CU214">
        <v>0</v>
      </c>
      <c r="CV214">
        <v>-0.5183385331</v>
      </c>
      <c r="CW214">
        <v>-0.3672986982</v>
      </c>
      <c r="CX214">
        <v>-0.41057904610000001</v>
      </c>
    </row>
    <row r="215" spans="1:103" x14ac:dyDescent="0.25">
      <c r="A215" t="s">
        <v>555</v>
      </c>
      <c r="B215" t="s">
        <v>556</v>
      </c>
      <c r="C215">
        <v>1000</v>
      </c>
      <c r="D215" t="s">
        <v>557</v>
      </c>
      <c r="F215">
        <v>62.5</v>
      </c>
      <c r="G215">
        <v>12.5</v>
      </c>
      <c r="H215">
        <v>12.5</v>
      </c>
      <c r="I215">
        <v>12.5</v>
      </c>
      <c r="J215">
        <f t="shared" si="6"/>
        <v>7.25</v>
      </c>
      <c r="K215">
        <f t="shared" si="7"/>
        <v>-1.0735428464085233</v>
      </c>
      <c r="L215">
        <v>32542.709360000001</v>
      </c>
      <c r="N215">
        <v>0.7663856336</v>
      </c>
      <c r="P215">
        <v>0.2336143664</v>
      </c>
      <c r="T215">
        <v>56725.366119999999</v>
      </c>
      <c r="W215">
        <v>45888.372840000004</v>
      </c>
      <c r="X215">
        <v>94276.741120000006</v>
      </c>
      <c r="Y215">
        <v>85848.357780000006</v>
      </c>
      <c r="AA215">
        <v>546636.43519999995</v>
      </c>
      <c r="AE215">
        <v>484961.96059999999</v>
      </c>
      <c r="AO215">
        <v>0.4961637565</v>
      </c>
      <c r="AP215">
        <v>-0.84329627299999999</v>
      </c>
      <c r="AZ215">
        <v>0</v>
      </c>
      <c r="BA215">
        <v>0.82809819419999997</v>
      </c>
      <c r="BC215">
        <v>0</v>
      </c>
      <c r="BD215">
        <v>-0.33682572100000002</v>
      </c>
      <c r="BF215">
        <v>0</v>
      </c>
      <c r="BH215">
        <v>0</v>
      </c>
      <c r="BI215">
        <v>0.2311837336</v>
      </c>
      <c r="BO215">
        <v>-0.55252566179999996</v>
      </c>
      <c r="BP215">
        <v>-0.62545278370000001</v>
      </c>
      <c r="BQ215">
        <v>0</v>
      </c>
      <c r="BR215">
        <v>0.5509303176</v>
      </c>
      <c r="BS215">
        <v>0.44810915350000002</v>
      </c>
      <c r="BU215">
        <v>0.68185884910000005</v>
      </c>
      <c r="CJ215">
        <v>0.2065742545</v>
      </c>
      <c r="CL215">
        <v>-0.69399033939999999</v>
      </c>
      <c r="CM215">
        <v>0.68971409360000002</v>
      </c>
      <c r="CN215">
        <v>0</v>
      </c>
      <c r="CO215">
        <v>0.48518734429999999</v>
      </c>
      <c r="CQ215">
        <v>-9.4703610339999994E-2</v>
      </c>
      <c r="CR215">
        <v>0.70381620410000001</v>
      </c>
      <c r="CS215">
        <v>0.70404117180000003</v>
      </c>
      <c r="CY215">
        <v>0.53748275320000005</v>
      </c>
    </row>
    <row r="216" spans="1:103" x14ac:dyDescent="0.25">
      <c r="A216" t="s">
        <v>558</v>
      </c>
      <c r="B216" t="s">
        <v>559</v>
      </c>
      <c r="C216">
        <v>1000</v>
      </c>
      <c r="D216" t="s">
        <v>111</v>
      </c>
      <c r="E216">
        <v>50</v>
      </c>
      <c r="G216">
        <v>25</v>
      </c>
      <c r="H216">
        <v>12.5</v>
      </c>
      <c r="I216">
        <v>12.5</v>
      </c>
      <c r="J216">
        <f t="shared" si="6"/>
        <v>8.875</v>
      </c>
      <c r="K216">
        <f t="shared" si="7"/>
        <v>-1.2130075659799042</v>
      </c>
      <c r="L216">
        <v>32332.660899999999</v>
      </c>
      <c r="M216">
        <v>1</v>
      </c>
      <c r="R216">
        <v>35736.786469999999</v>
      </c>
      <c r="S216">
        <v>60863.291709999998</v>
      </c>
      <c r="Z216">
        <v>480170.76539999997</v>
      </c>
      <c r="AJ216">
        <v>0.81523115170000005</v>
      </c>
      <c r="AK216">
        <v>-0.51524754910000004</v>
      </c>
      <c r="AL216">
        <v>0.70960755040000001</v>
      </c>
      <c r="AN216">
        <v>0.2327968383</v>
      </c>
      <c r="AS216">
        <v>0</v>
      </c>
      <c r="AT216">
        <v>0</v>
      </c>
      <c r="BK216">
        <v>0</v>
      </c>
      <c r="BL216">
        <v>0.48059550179999999</v>
      </c>
      <c r="BN216">
        <v>0.53028871649999998</v>
      </c>
      <c r="CH216">
        <v>-0.26442037060000001</v>
      </c>
      <c r="CI216">
        <v>-0.66502838769999995</v>
      </c>
      <c r="CK216">
        <v>0.69844243910000003</v>
      </c>
    </row>
    <row r="217" spans="1:103" x14ac:dyDescent="0.25">
      <c r="A217" t="s">
        <v>560</v>
      </c>
      <c r="B217" t="s">
        <v>561</v>
      </c>
      <c r="C217">
        <v>1000</v>
      </c>
      <c r="D217" t="s">
        <v>111</v>
      </c>
      <c r="E217">
        <v>37.5</v>
      </c>
      <c r="F217">
        <v>12.5</v>
      </c>
      <c r="G217">
        <v>25</v>
      </c>
      <c r="H217">
        <v>12.5</v>
      </c>
      <c r="I217">
        <v>12.5</v>
      </c>
      <c r="J217">
        <f t="shared" si="6"/>
        <v>8.5</v>
      </c>
      <c r="K217">
        <f t="shared" si="7"/>
        <v>-1.4941751382893085</v>
      </c>
      <c r="L217">
        <v>31500.966659999998</v>
      </c>
      <c r="M217">
        <v>1</v>
      </c>
      <c r="R217">
        <v>39497.237200000003</v>
      </c>
      <c r="S217">
        <v>58648.711069999998</v>
      </c>
      <c r="Z217">
        <v>108398.0416</v>
      </c>
      <c r="AF217">
        <v>513122.761</v>
      </c>
      <c r="AI217">
        <v>9.7431549670000006E-2</v>
      </c>
      <c r="AJ217">
        <v>0.79454145089999995</v>
      </c>
      <c r="AK217">
        <v>-0.551857669</v>
      </c>
      <c r="AL217">
        <v>-0.69200312760000005</v>
      </c>
      <c r="AM217">
        <v>0.1673805834</v>
      </c>
      <c r="AN217">
        <v>-0.31674074279999997</v>
      </c>
      <c r="AS217">
        <v>0</v>
      </c>
      <c r="AT217">
        <v>0</v>
      </c>
      <c r="BK217">
        <v>0</v>
      </c>
      <c r="BL217">
        <v>3.9340988619999996E-3</v>
      </c>
      <c r="BM217">
        <v>-0.90775945769999999</v>
      </c>
      <c r="BN217">
        <v>0.21927487779999999</v>
      </c>
      <c r="CH217">
        <v>-0.23380352660000001</v>
      </c>
      <c r="CI217">
        <v>0.62673017600000003</v>
      </c>
      <c r="CK217">
        <v>0.35759728429999998</v>
      </c>
      <c r="CT217">
        <v>-0.65166661599999998</v>
      </c>
      <c r="CU217">
        <v>0</v>
      </c>
      <c r="CV217">
        <v>-0.46537008289999998</v>
      </c>
      <c r="CW217">
        <v>-0.37210697230000001</v>
      </c>
      <c r="CX217">
        <v>-0.4693588272</v>
      </c>
    </row>
    <row r="218" spans="1:103" x14ac:dyDescent="0.25">
      <c r="A218" t="s">
        <v>562</v>
      </c>
      <c r="B218" t="s">
        <v>563</v>
      </c>
      <c r="C218">
        <v>1000</v>
      </c>
      <c r="D218" t="s">
        <v>111</v>
      </c>
      <c r="E218">
        <v>25</v>
      </c>
      <c r="F218">
        <v>25</v>
      </c>
      <c r="G218">
        <v>25</v>
      </c>
      <c r="H218">
        <v>12.5</v>
      </c>
      <c r="I218">
        <v>12.5</v>
      </c>
      <c r="J218">
        <f t="shared" si="6"/>
        <v>8.125</v>
      </c>
      <c r="K218">
        <f t="shared" si="7"/>
        <v>-1.5595811562598769</v>
      </c>
      <c r="L218">
        <v>31847.65324</v>
      </c>
      <c r="M218">
        <v>1</v>
      </c>
      <c r="R218">
        <v>42534.708019999998</v>
      </c>
      <c r="S218">
        <v>56550.64516</v>
      </c>
      <c r="Z218">
        <v>78565.847680000006</v>
      </c>
      <c r="AF218">
        <v>488340.09740000003</v>
      </c>
      <c r="AI218">
        <v>0.42996861009999998</v>
      </c>
      <c r="AJ218">
        <v>0.53448084959999997</v>
      </c>
      <c r="AK218">
        <v>-0.72297094790000005</v>
      </c>
      <c r="AL218">
        <v>-0.38876548360000002</v>
      </c>
      <c r="AM218">
        <v>0.27943069199999998</v>
      </c>
      <c r="AN218">
        <v>-0.66185894000000001</v>
      </c>
      <c r="AS218">
        <v>0</v>
      </c>
      <c r="AT218">
        <v>0</v>
      </c>
      <c r="BK218">
        <v>0</v>
      </c>
      <c r="BL218">
        <v>0.31348601970000001</v>
      </c>
      <c r="BM218">
        <v>0.77469208050000005</v>
      </c>
      <c r="BN218">
        <v>-0.27256252600000003</v>
      </c>
      <c r="CH218">
        <v>-8.2281372810000003E-2</v>
      </c>
      <c r="CI218">
        <v>0.57682114269999996</v>
      </c>
      <c r="CK218">
        <v>-0.47674769560000002</v>
      </c>
      <c r="CT218">
        <v>0.65819357359999997</v>
      </c>
      <c r="CU218">
        <v>0</v>
      </c>
      <c r="CV218">
        <v>0.47738970819999998</v>
      </c>
      <c r="CW218">
        <v>0.36999683919999998</v>
      </c>
      <c r="CX218">
        <v>0.44942477149999999</v>
      </c>
    </row>
    <row r="219" spans="1:103" x14ac:dyDescent="0.25">
      <c r="A219" t="s">
        <v>564</v>
      </c>
      <c r="B219" t="s">
        <v>565</v>
      </c>
      <c r="C219">
        <v>1000</v>
      </c>
      <c r="D219" t="s">
        <v>111</v>
      </c>
      <c r="E219">
        <v>12.5</v>
      </c>
      <c r="F219">
        <v>37.5</v>
      </c>
      <c r="G219">
        <v>25</v>
      </c>
      <c r="H219">
        <v>12.5</v>
      </c>
      <c r="I219">
        <v>12.5</v>
      </c>
      <c r="J219">
        <f t="shared" si="6"/>
        <v>7.75</v>
      </c>
      <c r="K219">
        <f t="shared" si="7"/>
        <v>-1.4941751382893085</v>
      </c>
      <c r="L219">
        <v>32911.192719999999</v>
      </c>
      <c r="M219">
        <v>1</v>
      </c>
      <c r="R219">
        <v>38366.081960000003</v>
      </c>
      <c r="S219">
        <v>69831.654639999993</v>
      </c>
      <c r="Z219">
        <v>87435.035759999999</v>
      </c>
      <c r="AF219">
        <v>473735.51809999999</v>
      </c>
      <c r="AI219">
        <v>0.67889011669999999</v>
      </c>
      <c r="AJ219">
        <v>0.10954992819999999</v>
      </c>
      <c r="AK219">
        <v>-0.72354606229999996</v>
      </c>
      <c r="AL219">
        <v>0.36932239529999999</v>
      </c>
      <c r="AM219">
        <v>0.40233743579999998</v>
      </c>
      <c r="AN219">
        <v>0.35962866199999999</v>
      </c>
      <c r="AS219">
        <v>0</v>
      </c>
      <c r="AT219">
        <v>0</v>
      </c>
      <c r="BK219">
        <v>0</v>
      </c>
      <c r="BL219">
        <v>-0.3308554447</v>
      </c>
      <c r="BM219">
        <v>-0.48077274289999999</v>
      </c>
      <c r="BN219">
        <v>0.81141917760000004</v>
      </c>
      <c r="CH219">
        <v>5.9900904099999999E-2</v>
      </c>
      <c r="CI219">
        <v>-0.75656644230000003</v>
      </c>
      <c r="CK219">
        <v>-3.1482735640000002E-2</v>
      </c>
      <c r="CT219">
        <v>-0.65040601679999999</v>
      </c>
      <c r="CU219">
        <v>0</v>
      </c>
      <c r="CV219">
        <v>-0.4802264161</v>
      </c>
      <c r="CW219">
        <v>-0.38221407390000001</v>
      </c>
      <c r="CX219">
        <v>-0.4475120158</v>
      </c>
    </row>
    <row r="220" spans="1:103" x14ac:dyDescent="0.25">
      <c r="A220" t="s">
        <v>566</v>
      </c>
      <c r="B220" t="s">
        <v>567</v>
      </c>
      <c r="C220">
        <v>1000</v>
      </c>
      <c r="D220" t="s">
        <v>111</v>
      </c>
      <c r="F220">
        <v>50</v>
      </c>
      <c r="G220">
        <v>25</v>
      </c>
      <c r="H220">
        <v>12.5</v>
      </c>
      <c r="I220">
        <v>12.5</v>
      </c>
      <c r="J220">
        <f t="shared" si="6"/>
        <v>7.375</v>
      </c>
      <c r="K220">
        <f t="shared" si="7"/>
        <v>-1.2130075659799042</v>
      </c>
      <c r="L220">
        <v>34224.463779999998</v>
      </c>
      <c r="M220">
        <v>1</v>
      </c>
      <c r="R220">
        <v>32119.016469999999</v>
      </c>
      <c r="S220">
        <v>73838.676869999996</v>
      </c>
      <c r="Z220">
        <v>392025.22739999997</v>
      </c>
      <c r="AI220">
        <v>-0.72007293080000001</v>
      </c>
      <c r="AK220">
        <v>0.69065263330000004</v>
      </c>
      <c r="AL220">
        <v>0.47958639619999999</v>
      </c>
      <c r="AM220">
        <v>0.52542262360000003</v>
      </c>
      <c r="AS220">
        <v>0</v>
      </c>
      <c r="AT220">
        <v>0</v>
      </c>
      <c r="BK220">
        <v>0</v>
      </c>
      <c r="BL220">
        <v>0.5412897055</v>
      </c>
      <c r="BM220">
        <v>0.45324127780000001</v>
      </c>
      <c r="CH220">
        <v>-6.7036664369999999E-2</v>
      </c>
      <c r="CI220">
        <v>-0.70280008189999998</v>
      </c>
      <c r="CK220">
        <v>0.70822157470000002</v>
      </c>
    </row>
    <row r="221" spans="1:103" x14ac:dyDescent="0.25">
      <c r="A221" t="s">
        <v>568</v>
      </c>
      <c r="B221" t="s">
        <v>569</v>
      </c>
      <c r="C221">
        <v>1000</v>
      </c>
      <c r="D221" t="s">
        <v>111</v>
      </c>
      <c r="E221">
        <v>37.5</v>
      </c>
      <c r="G221">
        <v>37.5</v>
      </c>
      <c r="H221">
        <v>12.5</v>
      </c>
      <c r="I221">
        <v>12.5</v>
      </c>
      <c r="J221">
        <f t="shared" si="6"/>
        <v>8.625</v>
      </c>
      <c r="K221">
        <f t="shared" si="7"/>
        <v>-1.2554823251787537</v>
      </c>
      <c r="L221">
        <v>33794.82602</v>
      </c>
      <c r="M221">
        <v>1</v>
      </c>
      <c r="R221">
        <v>30350.10759</v>
      </c>
      <c r="S221">
        <v>58319.726759999998</v>
      </c>
      <c r="Z221">
        <v>467766.37809999997</v>
      </c>
      <c r="AJ221">
        <v>-0.73581526919999996</v>
      </c>
      <c r="AK221">
        <v>0.66956810759999996</v>
      </c>
      <c r="AL221">
        <v>-0.56502846390000006</v>
      </c>
      <c r="AN221">
        <v>-0.41611762359999999</v>
      </c>
      <c r="AS221">
        <v>0</v>
      </c>
      <c r="AT221">
        <v>0</v>
      </c>
      <c r="BK221">
        <v>0</v>
      </c>
      <c r="BL221">
        <v>0.482094937</v>
      </c>
      <c r="BN221">
        <v>0.53425327479999996</v>
      </c>
      <c r="CH221">
        <v>0.1012642034</v>
      </c>
      <c r="CI221">
        <v>0.71245277620000003</v>
      </c>
      <c r="CK221">
        <v>0.69437591409999999</v>
      </c>
    </row>
    <row r="222" spans="1:103" x14ac:dyDescent="0.25">
      <c r="A222" t="s">
        <v>570</v>
      </c>
      <c r="B222" t="s">
        <v>571</v>
      </c>
      <c r="C222">
        <v>1000</v>
      </c>
      <c r="D222" t="s">
        <v>111</v>
      </c>
      <c r="E222">
        <v>25</v>
      </c>
      <c r="F222">
        <v>12.5</v>
      </c>
      <c r="G222">
        <v>37.5</v>
      </c>
      <c r="H222">
        <v>12.5</v>
      </c>
      <c r="I222">
        <v>12.5</v>
      </c>
      <c r="J222">
        <f t="shared" si="6"/>
        <v>8.25</v>
      </c>
      <c r="K222">
        <f t="shared" si="7"/>
        <v>-1.4941751382893085</v>
      </c>
      <c r="L222">
        <v>33316.954590000001</v>
      </c>
      <c r="M222">
        <v>1</v>
      </c>
      <c r="R222">
        <v>33837.191749999998</v>
      </c>
      <c r="S222">
        <v>59136.316019999998</v>
      </c>
      <c r="Z222">
        <v>112105.66439999999</v>
      </c>
      <c r="AF222">
        <v>510562.74440000003</v>
      </c>
      <c r="AI222">
        <v>-0.22101237239999999</v>
      </c>
      <c r="AJ222">
        <v>-0.5757885398</v>
      </c>
      <c r="AK222">
        <v>0.78709959939999996</v>
      </c>
      <c r="AL222">
        <v>-0.40628748269999998</v>
      </c>
      <c r="AM222">
        <v>9.5895587909999996E-2</v>
      </c>
      <c r="AN222">
        <v>-0.603731923</v>
      </c>
      <c r="AS222">
        <v>0</v>
      </c>
      <c r="AT222">
        <v>0</v>
      </c>
      <c r="BK222">
        <v>0</v>
      </c>
      <c r="BL222">
        <v>-2.8165264440000001E-2</v>
      </c>
      <c r="BM222">
        <v>-0.88153707670000003</v>
      </c>
      <c r="BN222">
        <v>0.2936152776</v>
      </c>
      <c r="CH222">
        <v>-9.7626548340000001E-3</v>
      </c>
      <c r="CI222">
        <v>0.67914820379999996</v>
      </c>
      <c r="CK222">
        <v>0.36863148140000002</v>
      </c>
      <c r="CT222">
        <v>-0.63464349610000004</v>
      </c>
      <c r="CU222">
        <v>0</v>
      </c>
      <c r="CV222">
        <v>-0.46325444669999999</v>
      </c>
      <c r="CW222">
        <v>-0.40601885240000002</v>
      </c>
      <c r="CX222">
        <v>-0.46666009260000002</v>
      </c>
    </row>
    <row r="223" spans="1:103" x14ac:dyDescent="0.25">
      <c r="A223" t="s">
        <v>572</v>
      </c>
      <c r="B223" t="s">
        <v>573</v>
      </c>
      <c r="C223">
        <v>1000</v>
      </c>
      <c r="D223" t="s">
        <v>111</v>
      </c>
      <c r="E223">
        <v>12.5</v>
      </c>
      <c r="F223">
        <v>25</v>
      </c>
      <c r="G223">
        <v>37.5</v>
      </c>
      <c r="H223">
        <v>12.5</v>
      </c>
      <c r="I223">
        <v>12.5</v>
      </c>
      <c r="J223">
        <f t="shared" si="6"/>
        <v>7.875</v>
      </c>
      <c r="K223">
        <f t="shared" si="7"/>
        <v>-1.4941751382893085</v>
      </c>
      <c r="L223">
        <v>33826.179830000001</v>
      </c>
      <c r="M223">
        <v>1</v>
      </c>
      <c r="R223">
        <v>33310.901310000001</v>
      </c>
      <c r="S223">
        <v>73300.259439999994</v>
      </c>
      <c r="Z223">
        <v>92596.411269999997</v>
      </c>
      <c r="AF223">
        <v>491500.18280000001</v>
      </c>
      <c r="AI223">
        <v>0.50239471989999995</v>
      </c>
      <c r="AJ223">
        <v>0.21791035819999999</v>
      </c>
      <c r="AK223">
        <v>-0.82562502510000002</v>
      </c>
      <c r="AL223">
        <v>0.2300351149</v>
      </c>
      <c r="AM223">
        <v>0.3780917352</v>
      </c>
      <c r="AN223">
        <v>0.47435485449999998</v>
      </c>
      <c r="AS223">
        <v>0</v>
      </c>
      <c r="AT223">
        <v>0</v>
      </c>
      <c r="BK223">
        <v>0</v>
      </c>
      <c r="BL223">
        <v>0.21212218199999999</v>
      </c>
      <c r="BM223">
        <v>0.66930607890000005</v>
      </c>
      <c r="BN223">
        <v>-0.71055841509999995</v>
      </c>
      <c r="CH223">
        <v>0.13585999779999999</v>
      </c>
      <c r="CI223">
        <v>-0.76099800110000004</v>
      </c>
      <c r="CK223">
        <v>-4.6263283490000001E-2</v>
      </c>
      <c r="CT223">
        <v>0.63267927769999999</v>
      </c>
      <c r="CU223">
        <v>0</v>
      </c>
      <c r="CV223">
        <v>0.46949837420000001</v>
      </c>
      <c r="CW223">
        <v>0.39582773659999998</v>
      </c>
      <c r="CX223">
        <v>0.47181416999999998</v>
      </c>
    </row>
    <row r="224" spans="1:103" x14ac:dyDescent="0.25">
      <c r="A224" t="s">
        <v>574</v>
      </c>
      <c r="B224" t="s">
        <v>575</v>
      </c>
      <c r="C224">
        <v>1000</v>
      </c>
      <c r="D224" t="s">
        <v>111</v>
      </c>
      <c r="F224">
        <v>37.5</v>
      </c>
      <c r="G224">
        <v>37.5</v>
      </c>
      <c r="H224">
        <v>12.5</v>
      </c>
      <c r="I224">
        <v>12.5</v>
      </c>
      <c r="J224">
        <f t="shared" si="6"/>
        <v>7.5</v>
      </c>
      <c r="K224">
        <f t="shared" si="7"/>
        <v>-1.2554823251787537</v>
      </c>
      <c r="L224">
        <v>34859.424469999998</v>
      </c>
      <c r="M224">
        <v>1</v>
      </c>
      <c r="R224">
        <v>28233.915239999998</v>
      </c>
      <c r="S224">
        <v>75461.633830000006</v>
      </c>
      <c r="Z224">
        <v>396065.10639999999</v>
      </c>
      <c r="AI224">
        <v>-0.62714884670000004</v>
      </c>
      <c r="AK224">
        <v>0.76402066800000001</v>
      </c>
      <c r="AL224">
        <v>0.3681697008</v>
      </c>
      <c r="AM224">
        <v>0.61663493830000005</v>
      </c>
      <c r="AS224">
        <v>0</v>
      </c>
      <c r="AT224">
        <v>0</v>
      </c>
      <c r="BK224">
        <v>0</v>
      </c>
      <c r="BL224">
        <v>0.52983220460000002</v>
      </c>
      <c r="BM224">
        <v>0.4758647735</v>
      </c>
      <c r="CH224">
        <v>-0.15151482729999999</v>
      </c>
      <c r="CI224">
        <v>-0.69585373770000003</v>
      </c>
      <c r="CK224">
        <v>0.70201891169999997</v>
      </c>
    </row>
    <row r="225" spans="1:108" x14ac:dyDescent="0.25">
      <c r="A225" t="s">
        <v>576</v>
      </c>
      <c r="B225" t="s">
        <v>577</v>
      </c>
      <c r="C225">
        <v>1000</v>
      </c>
      <c r="D225" t="s">
        <v>111</v>
      </c>
      <c r="E225">
        <v>25</v>
      </c>
      <c r="G225">
        <v>50</v>
      </c>
      <c r="H225">
        <v>12.5</v>
      </c>
      <c r="I225">
        <v>12.5</v>
      </c>
      <c r="J225">
        <f t="shared" si="6"/>
        <v>8.375</v>
      </c>
      <c r="K225">
        <f t="shared" si="7"/>
        <v>-1.2130075659799042</v>
      </c>
      <c r="L225">
        <v>35255.515679999997</v>
      </c>
      <c r="M225">
        <v>1</v>
      </c>
      <c r="R225">
        <v>30167.17395</v>
      </c>
      <c r="S225">
        <v>61403.744200000001</v>
      </c>
      <c r="Z225">
        <v>459484.58510000003</v>
      </c>
      <c r="AJ225">
        <v>0.65369847110000001</v>
      </c>
      <c r="AK225">
        <v>-0.7565148786</v>
      </c>
      <c r="AL225">
        <v>-0.43656848279999999</v>
      </c>
      <c r="AN225">
        <v>-0.52651539349999998</v>
      </c>
      <c r="AS225">
        <v>0</v>
      </c>
      <c r="AT225">
        <v>0</v>
      </c>
      <c r="BK225">
        <v>0</v>
      </c>
      <c r="BL225">
        <v>0.48692008669999998</v>
      </c>
      <c r="BN225">
        <v>0.54356383419999998</v>
      </c>
      <c r="CH225">
        <v>1.9066917619999998E-2</v>
      </c>
      <c r="CI225">
        <v>0.72951319400000003</v>
      </c>
      <c r="CK225">
        <v>0.68370109499999998</v>
      </c>
    </row>
    <row r="226" spans="1:108" x14ac:dyDescent="0.25">
      <c r="A226" t="s">
        <v>578</v>
      </c>
      <c r="B226" t="s">
        <v>579</v>
      </c>
      <c r="C226">
        <v>1000</v>
      </c>
      <c r="D226" t="s">
        <v>111</v>
      </c>
      <c r="E226">
        <v>12.5</v>
      </c>
      <c r="F226">
        <v>12.5</v>
      </c>
      <c r="G226">
        <v>50</v>
      </c>
      <c r="H226">
        <v>12.5</v>
      </c>
      <c r="I226">
        <v>12.5</v>
      </c>
      <c r="J226">
        <f t="shared" si="6"/>
        <v>8</v>
      </c>
      <c r="K226">
        <f t="shared" si="7"/>
        <v>-1.3862943611198906</v>
      </c>
      <c r="L226">
        <v>35007.937550000002</v>
      </c>
      <c r="M226">
        <v>1</v>
      </c>
      <c r="R226">
        <v>32876.085429999999</v>
      </c>
      <c r="S226">
        <v>76617.684290000005</v>
      </c>
      <c r="Z226">
        <v>120997.40240000001</v>
      </c>
      <c r="AF226">
        <v>516891.2867</v>
      </c>
      <c r="AI226">
        <v>-0.31348449940000001</v>
      </c>
      <c r="AJ226">
        <v>-0.32048394609999997</v>
      </c>
      <c r="AK226">
        <v>0.87440169430000003</v>
      </c>
      <c r="AL226">
        <v>0.1378495491</v>
      </c>
      <c r="AM226">
        <v>0.16059940519999999</v>
      </c>
      <c r="AN226">
        <v>0.64448046579999996</v>
      </c>
      <c r="AS226">
        <v>0</v>
      </c>
      <c r="AT226">
        <v>0</v>
      </c>
      <c r="BK226">
        <v>0</v>
      </c>
      <c r="BL226">
        <v>6.4528498190000005E-2</v>
      </c>
      <c r="BM226">
        <v>0.8310132804</v>
      </c>
      <c r="BN226">
        <v>-0.49670792720000001</v>
      </c>
      <c r="CH226">
        <v>-0.18557797819999999</v>
      </c>
      <c r="CI226">
        <v>-0.73474503199999996</v>
      </c>
      <c r="CK226">
        <v>-0.24193849579999999</v>
      </c>
      <c r="CT226">
        <v>0.6059501612</v>
      </c>
      <c r="CU226">
        <v>0</v>
      </c>
      <c r="CV226">
        <v>0.46071046370000002</v>
      </c>
      <c r="CW226">
        <v>0.43052638250000003</v>
      </c>
      <c r="CX226">
        <v>0.4849920667</v>
      </c>
    </row>
    <row r="227" spans="1:108" x14ac:dyDescent="0.25">
      <c r="A227" t="s">
        <v>580</v>
      </c>
      <c r="B227" t="s">
        <v>581</v>
      </c>
      <c r="C227">
        <v>1000</v>
      </c>
      <c r="D227" t="s">
        <v>111</v>
      </c>
      <c r="F227">
        <v>25</v>
      </c>
      <c r="G227">
        <v>50</v>
      </c>
      <c r="H227">
        <v>12.5</v>
      </c>
      <c r="I227">
        <v>12.5</v>
      </c>
      <c r="J227">
        <f t="shared" si="6"/>
        <v>7.625</v>
      </c>
      <c r="K227">
        <f t="shared" si="7"/>
        <v>-1.2130075659799042</v>
      </c>
      <c r="L227">
        <v>35559.599520000003</v>
      </c>
      <c r="M227">
        <v>1</v>
      </c>
      <c r="R227">
        <v>29281.339599999999</v>
      </c>
      <c r="S227">
        <v>82123.120609999998</v>
      </c>
      <c r="Z227">
        <v>404227.49690000003</v>
      </c>
      <c r="AI227">
        <v>-0.53936951990000004</v>
      </c>
      <c r="AK227">
        <v>0.81184196419999999</v>
      </c>
      <c r="AL227">
        <v>-0.25792439</v>
      </c>
      <c r="AM227">
        <v>-0.67484321439999995</v>
      </c>
      <c r="AS227">
        <v>0</v>
      </c>
      <c r="AT227">
        <v>0</v>
      </c>
      <c r="BK227">
        <v>0</v>
      </c>
      <c r="BL227">
        <v>0.52381979830000003</v>
      </c>
      <c r="BM227">
        <v>0.50365421330000004</v>
      </c>
      <c r="CH227">
        <v>-0.2235914715</v>
      </c>
      <c r="CI227">
        <v>0.69142002069999997</v>
      </c>
      <c r="CK227">
        <v>0.68698271619999995</v>
      </c>
    </row>
    <row r="228" spans="1:108" x14ac:dyDescent="0.25">
      <c r="A228" t="s">
        <v>582</v>
      </c>
      <c r="B228" t="s">
        <v>583</v>
      </c>
      <c r="C228">
        <v>1000</v>
      </c>
      <c r="D228" t="s">
        <v>111</v>
      </c>
      <c r="E228">
        <v>12.5</v>
      </c>
      <c r="G228">
        <v>62.5</v>
      </c>
      <c r="H228">
        <v>12.5</v>
      </c>
      <c r="I228">
        <v>12.5</v>
      </c>
      <c r="J228">
        <f t="shared" si="6"/>
        <v>8.125</v>
      </c>
      <c r="K228">
        <f t="shared" si="7"/>
        <v>-1.0735428464085233</v>
      </c>
      <c r="L228">
        <v>36461.723489999997</v>
      </c>
      <c r="M228">
        <v>1</v>
      </c>
      <c r="R228">
        <v>38231.686099999999</v>
      </c>
      <c r="S228">
        <v>77876.648209999999</v>
      </c>
      <c r="Z228">
        <v>459017.22629999998</v>
      </c>
      <c r="AJ228">
        <v>0.4201332955</v>
      </c>
      <c r="AK228">
        <v>-0.86688415750000003</v>
      </c>
      <c r="AL228">
        <v>0.11966419440000001</v>
      </c>
      <c r="AN228">
        <v>0.69789651419999998</v>
      </c>
      <c r="AS228">
        <v>0</v>
      </c>
      <c r="AT228">
        <v>0</v>
      </c>
      <c r="BK228">
        <v>0</v>
      </c>
      <c r="BL228">
        <v>-0.48393417620000001</v>
      </c>
      <c r="BN228">
        <v>-0.58002452280000005</v>
      </c>
      <c r="CH228">
        <v>0.26832791789999999</v>
      </c>
      <c r="CI228">
        <v>-0.70613096239999995</v>
      </c>
      <c r="CK228">
        <v>-0.65527037629999996</v>
      </c>
    </row>
    <row r="229" spans="1:108" x14ac:dyDescent="0.25">
      <c r="A229" t="s">
        <v>584</v>
      </c>
      <c r="B229" t="s">
        <v>585</v>
      </c>
      <c r="C229">
        <v>1000</v>
      </c>
      <c r="D229" t="s">
        <v>111</v>
      </c>
      <c r="F229">
        <v>12.5</v>
      </c>
      <c r="G229">
        <v>62.5</v>
      </c>
      <c r="H229">
        <v>12.5</v>
      </c>
      <c r="I229">
        <v>12.5</v>
      </c>
      <c r="J229">
        <f t="shared" si="6"/>
        <v>7.75</v>
      </c>
      <c r="K229">
        <f t="shared" si="7"/>
        <v>-1.0735428464085233</v>
      </c>
      <c r="L229">
        <v>36331.130660000003</v>
      </c>
      <c r="M229">
        <v>1</v>
      </c>
      <c r="R229">
        <v>35921.071739999999</v>
      </c>
      <c r="S229">
        <v>104375.3449</v>
      </c>
      <c r="Z229">
        <v>422233.98330000002</v>
      </c>
      <c r="AI229">
        <v>0.36855724470000001</v>
      </c>
      <c r="AK229">
        <v>-0.85955502289999997</v>
      </c>
      <c r="AL229">
        <v>4.0856195739999997E-2</v>
      </c>
      <c r="AM229">
        <v>0.74008289439999997</v>
      </c>
      <c r="AS229">
        <v>0</v>
      </c>
      <c r="AT229">
        <v>0</v>
      </c>
      <c r="BK229">
        <v>0</v>
      </c>
      <c r="BL229">
        <v>0.50940739450000005</v>
      </c>
      <c r="BM229">
        <v>0.56253256100000004</v>
      </c>
      <c r="CH229">
        <v>0.3540207903</v>
      </c>
      <c r="CI229">
        <v>-0.67127347690000005</v>
      </c>
      <c r="CK229">
        <v>0.65119983429999995</v>
      </c>
    </row>
    <row r="230" spans="1:108" x14ac:dyDescent="0.25">
      <c r="A230" t="s">
        <v>586</v>
      </c>
      <c r="B230" t="s">
        <v>587</v>
      </c>
      <c r="C230">
        <v>1000</v>
      </c>
      <c r="D230" t="s">
        <v>111</v>
      </c>
      <c r="G230">
        <v>75</v>
      </c>
      <c r="H230">
        <v>12.5</v>
      </c>
      <c r="I230">
        <v>12.5</v>
      </c>
      <c r="J230">
        <f t="shared" si="6"/>
        <v>7.875</v>
      </c>
      <c r="K230">
        <f t="shared" si="7"/>
        <v>-0.73562193975879464</v>
      </c>
      <c r="L230">
        <v>37180.398419999998</v>
      </c>
      <c r="M230">
        <v>1</v>
      </c>
      <c r="R230">
        <v>48980.837890000003</v>
      </c>
      <c r="S230">
        <v>318946.83889999997</v>
      </c>
      <c r="AK230">
        <v>-0.81801757819999998</v>
      </c>
      <c r="AL230">
        <v>-0.57519320900000004</v>
      </c>
      <c r="AS230">
        <v>0</v>
      </c>
      <c r="AT230">
        <v>0</v>
      </c>
      <c r="CH230">
        <v>0.57519322120000005</v>
      </c>
      <c r="CI230">
        <v>-0.81801758680000003</v>
      </c>
    </row>
    <row r="231" spans="1:108" x14ac:dyDescent="0.25">
      <c r="A231" t="s">
        <v>588</v>
      </c>
      <c r="B231" t="s">
        <v>589</v>
      </c>
      <c r="C231">
        <v>1000</v>
      </c>
      <c r="D231" t="s">
        <v>111</v>
      </c>
      <c r="E231">
        <v>62.5</v>
      </c>
      <c r="H231">
        <v>25</v>
      </c>
      <c r="I231">
        <v>12.5</v>
      </c>
      <c r="J231">
        <f t="shared" si="6"/>
        <v>8.875</v>
      </c>
      <c r="K231">
        <f t="shared" si="7"/>
        <v>-0.90025605126853692</v>
      </c>
      <c r="L231">
        <v>31308.94065</v>
      </c>
      <c r="M231">
        <v>1</v>
      </c>
      <c r="R231">
        <v>46529.374739999999</v>
      </c>
      <c r="S231">
        <v>293915.36180000001</v>
      </c>
      <c r="AJ231">
        <v>0.8446667712</v>
      </c>
      <c r="AN231">
        <v>0.53529186360000003</v>
      </c>
      <c r="AS231">
        <v>0</v>
      </c>
      <c r="AT231">
        <v>0</v>
      </c>
      <c r="CH231">
        <v>-0.53529248600000001</v>
      </c>
      <c r="CI231">
        <v>0.84466716559999999</v>
      </c>
    </row>
    <row r="232" spans="1:108" x14ac:dyDescent="0.25">
      <c r="A232" t="s">
        <v>590</v>
      </c>
      <c r="B232" t="s">
        <v>591</v>
      </c>
      <c r="C232">
        <v>1000</v>
      </c>
      <c r="D232" t="s">
        <v>111</v>
      </c>
      <c r="E232">
        <v>50</v>
      </c>
      <c r="F232">
        <v>12.5</v>
      </c>
      <c r="H232">
        <v>25</v>
      </c>
      <c r="I232">
        <v>12.5</v>
      </c>
      <c r="J232">
        <f t="shared" si="6"/>
        <v>8.5</v>
      </c>
      <c r="K232">
        <f t="shared" si="7"/>
        <v>-1.2130075659799042</v>
      </c>
      <c r="L232">
        <v>30252.796119999999</v>
      </c>
      <c r="M232">
        <v>1</v>
      </c>
      <c r="R232">
        <v>44947.843419999997</v>
      </c>
      <c r="S232">
        <v>93713.107839999997</v>
      </c>
      <c r="Z232">
        <v>279532.85649999999</v>
      </c>
      <c r="AI232">
        <v>-0.1115225475</v>
      </c>
      <c r="AJ232">
        <v>0.87530495480000003</v>
      </c>
      <c r="AM232">
        <v>0.96353912890000004</v>
      </c>
      <c r="AN232">
        <v>-2.0642516940000001E-2</v>
      </c>
      <c r="AS232">
        <v>0</v>
      </c>
      <c r="AT232">
        <v>0</v>
      </c>
      <c r="BK232">
        <v>0</v>
      </c>
      <c r="BM232">
        <v>-0.243218148</v>
      </c>
      <c r="BN232">
        <v>-0.48313054560000002</v>
      </c>
      <c r="CH232">
        <v>-0.47053581970000002</v>
      </c>
      <c r="CI232">
        <v>-0.2667700012</v>
      </c>
      <c r="CK232">
        <v>-0.84108846640000001</v>
      </c>
    </row>
    <row r="233" spans="1:108" x14ac:dyDescent="0.25">
      <c r="A233" t="s">
        <v>592</v>
      </c>
      <c r="B233" t="s">
        <v>593</v>
      </c>
      <c r="C233">
        <v>1000</v>
      </c>
      <c r="D233" t="s">
        <v>111</v>
      </c>
      <c r="E233">
        <v>37.5</v>
      </c>
      <c r="F233">
        <v>25</v>
      </c>
      <c r="H233">
        <v>25</v>
      </c>
      <c r="I233">
        <v>12.5</v>
      </c>
      <c r="J233">
        <f t="shared" si="6"/>
        <v>8.125</v>
      </c>
      <c r="K233">
        <f t="shared" si="7"/>
        <v>-1.3208883431493221</v>
      </c>
      <c r="L233">
        <v>30239.373810000001</v>
      </c>
      <c r="M233">
        <v>1</v>
      </c>
      <c r="R233">
        <v>44370.484329999999</v>
      </c>
      <c r="S233">
        <v>57654.053619999999</v>
      </c>
      <c r="Z233">
        <v>257063.38149999999</v>
      </c>
      <c r="AI233">
        <v>-0.19168582540000001</v>
      </c>
      <c r="AJ233">
        <v>0.89697031449999998</v>
      </c>
      <c r="AM233">
        <v>0.95339856050000005</v>
      </c>
      <c r="AN233">
        <v>7.3816555019999994E-2</v>
      </c>
      <c r="AS233">
        <v>0</v>
      </c>
      <c r="AT233">
        <v>0</v>
      </c>
      <c r="BK233">
        <v>0</v>
      </c>
      <c r="BM233">
        <v>-0.23299725830000001</v>
      </c>
      <c r="BN233">
        <v>-0.43588458969999999</v>
      </c>
      <c r="CH233">
        <v>-0.39837268889999999</v>
      </c>
      <c r="CI233">
        <v>-0.2925445283</v>
      </c>
      <c r="CK233">
        <v>-0.86931979280000005</v>
      </c>
    </row>
    <row r="234" spans="1:108" x14ac:dyDescent="0.25">
      <c r="A234" t="s">
        <v>594</v>
      </c>
      <c r="B234" t="s">
        <v>595</v>
      </c>
      <c r="C234">
        <v>1000</v>
      </c>
      <c r="D234" t="s">
        <v>215</v>
      </c>
      <c r="E234">
        <v>25</v>
      </c>
      <c r="F234">
        <v>37.5</v>
      </c>
      <c r="H234">
        <v>25</v>
      </c>
      <c r="I234">
        <v>12.5</v>
      </c>
      <c r="J234">
        <f t="shared" si="6"/>
        <v>7.75</v>
      </c>
      <c r="K234">
        <f t="shared" si="7"/>
        <v>-1.3208883431493221</v>
      </c>
      <c r="L234">
        <v>30395.422979999999</v>
      </c>
      <c r="M234">
        <v>0.79139334930000005</v>
      </c>
      <c r="P234">
        <v>0.20860665070000001</v>
      </c>
      <c r="R234">
        <v>46302.165699999998</v>
      </c>
      <c r="S234">
        <v>49018.772290000001</v>
      </c>
      <c r="W234">
        <v>64701.952899999997</v>
      </c>
      <c r="X234">
        <v>94630.179109999997</v>
      </c>
      <c r="Z234">
        <v>266811.44260000001</v>
      </c>
      <c r="AA234">
        <v>355548.42180000001</v>
      </c>
      <c r="AI234">
        <v>4.3482683209999998E-2</v>
      </c>
      <c r="AJ234">
        <v>0.89077045330000004</v>
      </c>
      <c r="AM234">
        <v>0.95798282599999995</v>
      </c>
      <c r="AN234">
        <v>-0.16566999700000001</v>
      </c>
      <c r="AS234">
        <v>0</v>
      </c>
      <c r="AT234">
        <v>0</v>
      </c>
      <c r="AZ234">
        <v>0</v>
      </c>
      <c r="BA234">
        <v>0.97124459630000004</v>
      </c>
      <c r="BB234">
        <v>-0.19841027359999999</v>
      </c>
      <c r="BC234">
        <v>0</v>
      </c>
      <c r="BD234">
        <v>5.582242439E-2</v>
      </c>
      <c r="BE234">
        <v>0.72709486249999999</v>
      </c>
      <c r="BK234">
        <v>0</v>
      </c>
      <c r="BM234">
        <v>0.28351043669999998</v>
      </c>
      <c r="BN234">
        <v>0.42318014079999999</v>
      </c>
      <c r="BQ234">
        <v>0</v>
      </c>
      <c r="BS234">
        <v>-0.2314471662</v>
      </c>
      <c r="BT234">
        <v>-0.657241564</v>
      </c>
      <c r="CH234">
        <v>-0.45236849569999998</v>
      </c>
      <c r="CI234">
        <v>-0.23414174609999999</v>
      </c>
      <c r="CK234">
        <v>0.86054657089999997</v>
      </c>
      <c r="CQ234">
        <v>-0.13159520299999999</v>
      </c>
      <c r="CR234">
        <v>-0.68426377800000004</v>
      </c>
      <c r="CS234">
        <v>-0.71726266869999999</v>
      </c>
    </row>
    <row r="235" spans="1:108" x14ac:dyDescent="0.25">
      <c r="A235" t="s">
        <v>596</v>
      </c>
      <c r="B235" t="s">
        <v>597</v>
      </c>
      <c r="C235">
        <v>1000</v>
      </c>
      <c r="D235" t="s">
        <v>291</v>
      </c>
      <c r="E235">
        <v>12.5</v>
      </c>
      <c r="F235">
        <v>50</v>
      </c>
      <c r="H235">
        <v>25</v>
      </c>
      <c r="I235">
        <v>12.5</v>
      </c>
      <c r="J235">
        <f t="shared" si="6"/>
        <v>7.375</v>
      </c>
      <c r="K235">
        <f t="shared" si="7"/>
        <v>-1.2130075659799042</v>
      </c>
      <c r="L235">
        <v>30615.41734</v>
      </c>
      <c r="M235">
        <v>0.39677366609999998</v>
      </c>
      <c r="P235">
        <v>0.60322633390000002</v>
      </c>
      <c r="R235">
        <v>48401.978900000002</v>
      </c>
      <c r="S235">
        <v>56375.800459999999</v>
      </c>
      <c r="W235">
        <v>57056.960319999998</v>
      </c>
      <c r="X235">
        <v>115807.1455</v>
      </c>
      <c r="Z235">
        <v>316851.13929999998</v>
      </c>
      <c r="AA235">
        <v>401369.00280000002</v>
      </c>
      <c r="AI235">
        <v>-0.87296816269999999</v>
      </c>
      <c r="AJ235">
        <v>-0.1416315544</v>
      </c>
      <c r="AM235">
        <v>0.32518738619999998</v>
      </c>
      <c r="AN235">
        <v>-0.88221527550000001</v>
      </c>
      <c r="AS235">
        <v>0</v>
      </c>
      <c r="AT235">
        <v>0</v>
      </c>
      <c r="AZ235">
        <v>0</v>
      </c>
      <c r="BA235">
        <v>0.95753592809999999</v>
      </c>
      <c r="BB235">
        <v>-0.15807050510000001</v>
      </c>
      <c r="BC235">
        <v>0</v>
      </c>
      <c r="BD235">
        <v>-6.5833673940000004E-2</v>
      </c>
      <c r="BE235">
        <v>0.69434170819999996</v>
      </c>
      <c r="BK235">
        <v>0</v>
      </c>
      <c r="BM235">
        <v>0.36355653799999998</v>
      </c>
      <c r="BN235">
        <v>0.44904265310000002</v>
      </c>
      <c r="BQ235">
        <v>0</v>
      </c>
      <c r="BS235">
        <v>-0.28069712829999999</v>
      </c>
      <c r="BT235">
        <v>-0.702070745</v>
      </c>
      <c r="CH235">
        <v>0.46676234820000001</v>
      </c>
      <c r="CI235">
        <v>0.34051339400000002</v>
      </c>
      <c r="CK235">
        <v>0.81620300140000002</v>
      </c>
      <c r="CQ235">
        <v>-0.2411196008</v>
      </c>
      <c r="CR235">
        <v>-0.71662788079999995</v>
      </c>
      <c r="CS235">
        <v>-0.65445075529999996</v>
      </c>
    </row>
    <row r="236" spans="1:108" x14ac:dyDescent="0.25">
      <c r="A236" t="s">
        <v>598</v>
      </c>
      <c r="B236" t="s">
        <v>599</v>
      </c>
      <c r="C236">
        <v>1000</v>
      </c>
      <c r="D236" t="s">
        <v>319</v>
      </c>
      <c r="F236">
        <v>62.5</v>
      </c>
      <c r="H236">
        <v>25</v>
      </c>
      <c r="I236">
        <v>12.5</v>
      </c>
      <c r="J236">
        <f t="shared" si="6"/>
        <v>7</v>
      </c>
      <c r="K236">
        <f t="shared" si="7"/>
        <v>-0.90025605126853692</v>
      </c>
      <c r="L236">
        <v>30627.225180000001</v>
      </c>
      <c r="P236">
        <v>1</v>
      </c>
      <c r="W236">
        <v>54089.086589999999</v>
      </c>
      <c r="X236">
        <v>309902.12290000002</v>
      </c>
      <c r="AZ236">
        <v>0</v>
      </c>
      <c r="BA236">
        <v>-0.89751247720000005</v>
      </c>
      <c r="BC236">
        <v>0</v>
      </c>
      <c r="BD236">
        <v>-0.44098906879999999</v>
      </c>
      <c r="CQ236">
        <v>0.44098906249999997</v>
      </c>
      <c r="CR236">
        <v>-0.89751247410000001</v>
      </c>
    </row>
    <row r="237" spans="1:108" x14ac:dyDescent="0.25">
      <c r="A237" t="s">
        <v>600</v>
      </c>
      <c r="B237" t="s">
        <v>601</v>
      </c>
      <c r="C237">
        <v>1000</v>
      </c>
      <c r="D237" t="s">
        <v>111</v>
      </c>
      <c r="E237">
        <v>50</v>
      </c>
      <c r="G237">
        <v>12.5</v>
      </c>
      <c r="H237">
        <v>25</v>
      </c>
      <c r="I237">
        <v>12.5</v>
      </c>
      <c r="J237">
        <f t="shared" si="6"/>
        <v>8.625</v>
      </c>
      <c r="K237">
        <f t="shared" si="7"/>
        <v>-1.2130075659799042</v>
      </c>
      <c r="L237">
        <v>33172.807889999996</v>
      </c>
      <c r="M237">
        <v>1</v>
      </c>
      <c r="R237">
        <v>43779.872349999998</v>
      </c>
      <c r="S237">
        <v>84266.787710000004</v>
      </c>
      <c r="Z237">
        <v>336775.95789999998</v>
      </c>
      <c r="AJ237">
        <v>0.87614739460000002</v>
      </c>
      <c r="AK237">
        <v>-0.23086595339999999</v>
      </c>
      <c r="AL237">
        <v>-0.85004059679999999</v>
      </c>
      <c r="AN237">
        <v>2.999486765E-2</v>
      </c>
      <c r="AS237">
        <v>0</v>
      </c>
      <c r="AT237">
        <v>0</v>
      </c>
      <c r="BK237">
        <v>0</v>
      </c>
      <c r="BL237">
        <v>-0.47342570449999999</v>
      </c>
      <c r="BN237">
        <v>-0.4811091891</v>
      </c>
      <c r="CH237">
        <v>-0.42316268099999998</v>
      </c>
      <c r="CI237">
        <v>0.52586242660000004</v>
      </c>
      <c r="CK237">
        <v>-0.73783605929999996</v>
      </c>
    </row>
    <row r="238" spans="1:108" x14ac:dyDescent="0.25">
      <c r="A238" t="s">
        <v>602</v>
      </c>
      <c r="B238" t="s">
        <v>603</v>
      </c>
      <c r="C238">
        <v>1000</v>
      </c>
      <c r="D238" t="s">
        <v>111</v>
      </c>
      <c r="E238">
        <v>37.5</v>
      </c>
      <c r="F238">
        <v>12.5</v>
      </c>
      <c r="G238">
        <v>12.5</v>
      </c>
      <c r="H238">
        <v>25</v>
      </c>
      <c r="I238">
        <v>12.5</v>
      </c>
      <c r="J238">
        <f t="shared" si="6"/>
        <v>8.25</v>
      </c>
      <c r="K238">
        <f t="shared" si="7"/>
        <v>-1.4941751382893085</v>
      </c>
      <c r="L238">
        <v>32417.402409999999</v>
      </c>
      <c r="M238">
        <v>1</v>
      </c>
      <c r="R238">
        <v>45742.662080000002</v>
      </c>
      <c r="S238">
        <v>84156.090280000004</v>
      </c>
      <c r="Z238">
        <v>100457.2672</v>
      </c>
      <c r="AF238">
        <v>324894.13309999998</v>
      </c>
      <c r="AI238">
        <v>-5.293840373E-2</v>
      </c>
      <c r="AJ238">
        <v>0.899553677</v>
      </c>
      <c r="AK238">
        <v>-0.16550498529999999</v>
      </c>
      <c r="AL238">
        <v>0.8611008335</v>
      </c>
      <c r="AM238">
        <v>-5.6136606780000001E-2</v>
      </c>
      <c r="AN238">
        <v>-6.7956135390000005E-2</v>
      </c>
      <c r="AS238">
        <v>0</v>
      </c>
      <c r="AT238">
        <v>0</v>
      </c>
      <c r="BK238">
        <v>0</v>
      </c>
      <c r="BL238">
        <v>8.5629567049999994E-2</v>
      </c>
      <c r="BM238">
        <v>-0.96306102169999996</v>
      </c>
      <c r="BN238">
        <v>6.8633142450000004E-2</v>
      </c>
      <c r="CH238">
        <v>-0.40076028670000002</v>
      </c>
      <c r="CI238">
        <v>-0.50073545860000002</v>
      </c>
      <c r="CK238">
        <v>0.24590757899999999</v>
      </c>
      <c r="CT238">
        <v>-0.72676313680000004</v>
      </c>
      <c r="CU238">
        <v>0</v>
      </c>
      <c r="CV238">
        <v>-0.47305499849999999</v>
      </c>
      <c r="CW238">
        <v>-0.25799161349999999</v>
      </c>
      <c r="CX238">
        <v>-0.42599840239999998</v>
      </c>
    </row>
    <row r="239" spans="1:108" x14ac:dyDescent="0.25">
      <c r="A239" t="s">
        <v>604</v>
      </c>
      <c r="B239" t="s">
        <v>605</v>
      </c>
      <c r="C239">
        <v>1000</v>
      </c>
      <c r="D239" t="s">
        <v>111</v>
      </c>
      <c r="E239">
        <v>25</v>
      </c>
      <c r="F239">
        <v>25</v>
      </c>
      <c r="G239">
        <v>12.5</v>
      </c>
      <c r="H239">
        <v>25</v>
      </c>
      <c r="I239">
        <v>12.5</v>
      </c>
      <c r="J239">
        <f t="shared" si="6"/>
        <v>7.875</v>
      </c>
      <c r="K239">
        <f t="shared" si="7"/>
        <v>-1.5595811562598769</v>
      </c>
      <c r="L239">
        <v>32506.305670000002</v>
      </c>
      <c r="M239">
        <v>1</v>
      </c>
      <c r="R239">
        <v>51687.533990000004</v>
      </c>
      <c r="S239">
        <v>62148.108659999998</v>
      </c>
      <c r="Z239">
        <v>85532.230639999994</v>
      </c>
      <c r="AF239">
        <v>302680.04029999999</v>
      </c>
      <c r="AI239">
        <v>-8.2858461139999999E-3</v>
      </c>
      <c r="AJ239">
        <v>0.90862646540000003</v>
      </c>
      <c r="AK239">
        <v>-8.6703196819999995E-2</v>
      </c>
      <c r="AL239">
        <v>0.29523420030000003</v>
      </c>
      <c r="AM239">
        <v>-0.94769880989999999</v>
      </c>
      <c r="AN239">
        <v>6.5421957889999993E-2</v>
      </c>
      <c r="AS239">
        <v>0</v>
      </c>
      <c r="AT239">
        <v>0</v>
      </c>
      <c r="BK239">
        <v>0</v>
      </c>
      <c r="BL239">
        <v>-0.81505113129999995</v>
      </c>
      <c r="BM239">
        <v>-0.18645379349999999</v>
      </c>
      <c r="BN239">
        <v>0.15681618899999999</v>
      </c>
      <c r="CH239">
        <v>-0.4084260603</v>
      </c>
      <c r="CI239">
        <v>0.1020965237</v>
      </c>
      <c r="CK239">
        <v>0.52567605900000003</v>
      </c>
      <c r="CT239">
        <v>-0.73920844860000001</v>
      </c>
      <c r="CU239">
        <v>0</v>
      </c>
      <c r="CV239">
        <v>-0.49092869579999998</v>
      </c>
      <c r="CW239">
        <v>-0.25890787749999999</v>
      </c>
      <c r="CX239">
        <v>-0.38147948329999998</v>
      </c>
    </row>
    <row r="240" spans="1:108" x14ac:dyDescent="0.25">
      <c r="A240" t="s">
        <v>606</v>
      </c>
      <c r="B240" t="s">
        <v>607</v>
      </c>
      <c r="C240">
        <v>1000</v>
      </c>
      <c r="D240" t="s">
        <v>215</v>
      </c>
      <c r="E240">
        <v>12.5</v>
      </c>
      <c r="F240">
        <v>37.5</v>
      </c>
      <c r="G240">
        <v>12.5</v>
      </c>
      <c r="H240">
        <v>25</v>
      </c>
      <c r="I240">
        <v>12.5</v>
      </c>
      <c r="J240">
        <f t="shared" si="6"/>
        <v>7.5</v>
      </c>
      <c r="K240">
        <f t="shared" si="7"/>
        <v>-1.4941751382893085</v>
      </c>
      <c r="L240">
        <v>32224.64327</v>
      </c>
      <c r="M240">
        <v>0.64005078640000002</v>
      </c>
      <c r="P240">
        <v>0.35994921359999998</v>
      </c>
      <c r="R240">
        <v>49470.609880000004</v>
      </c>
      <c r="S240">
        <v>64977.83079</v>
      </c>
      <c r="W240">
        <v>54178.23846</v>
      </c>
      <c r="X240">
        <v>101920.10249999999</v>
      </c>
      <c r="Z240">
        <v>85667.165429999994</v>
      </c>
      <c r="AA240">
        <v>135443.9388</v>
      </c>
      <c r="AF240">
        <v>347196.6544</v>
      </c>
      <c r="AG240">
        <v>430659.42879999999</v>
      </c>
      <c r="AI240">
        <v>-0.90290200070000004</v>
      </c>
      <c r="AJ240">
        <v>-6.8295920979999994E-2</v>
      </c>
      <c r="AK240">
        <v>0.39101074540000003</v>
      </c>
      <c r="AL240">
        <v>0.20682907710000001</v>
      </c>
      <c r="AM240">
        <v>-7.2416078440000003E-2</v>
      </c>
      <c r="AN240">
        <v>0.80301085910000003</v>
      </c>
      <c r="AS240">
        <v>0</v>
      </c>
      <c r="AT240">
        <v>0</v>
      </c>
      <c r="AZ240">
        <v>0</v>
      </c>
      <c r="BA240">
        <v>-0.92711964280000003</v>
      </c>
      <c r="BB240">
        <v>9.2510562599999995E-3</v>
      </c>
      <c r="BC240">
        <v>0</v>
      </c>
      <c r="BD240">
        <v>0.2221524705</v>
      </c>
      <c r="BE240">
        <v>-5.0074745560000002E-2</v>
      </c>
      <c r="BK240">
        <v>0</v>
      </c>
      <c r="BL240">
        <v>-0.74281419660000003</v>
      </c>
      <c r="BM240">
        <v>-0.28075367229999998</v>
      </c>
      <c r="BN240">
        <v>0.44884495410000003</v>
      </c>
      <c r="BO240">
        <v>0.35905759710000001</v>
      </c>
      <c r="BP240">
        <v>0.75726091039999999</v>
      </c>
      <c r="BQ240">
        <v>0</v>
      </c>
      <c r="BR240">
        <v>-0.34010055179999998</v>
      </c>
      <c r="BS240">
        <v>-0.1877168377</v>
      </c>
      <c r="BT240">
        <v>0.73977867050000001</v>
      </c>
      <c r="CH240">
        <v>0.16496739469999999</v>
      </c>
      <c r="CI240">
        <v>-0.55421223799999997</v>
      </c>
      <c r="CK240">
        <v>0.40980806730000002</v>
      </c>
      <c r="CQ240">
        <v>0.1069636749</v>
      </c>
      <c r="CR240">
        <v>-0.61212475300000002</v>
      </c>
      <c r="CS240">
        <v>-0.54938285570000001</v>
      </c>
      <c r="CT240">
        <v>-0.70547329459999997</v>
      </c>
      <c r="CU240">
        <v>0</v>
      </c>
      <c r="CV240">
        <v>-0.50255299050000002</v>
      </c>
      <c r="CW240">
        <v>-0.3173286515</v>
      </c>
      <c r="CX240">
        <v>-0.3860705237</v>
      </c>
      <c r="CZ240">
        <v>-0.55860586940000001</v>
      </c>
      <c r="DA240">
        <v>0</v>
      </c>
      <c r="DB240">
        <v>-0.42657375609999998</v>
      </c>
      <c r="DC240">
        <v>-0.23634685499999999</v>
      </c>
      <c r="DD240">
        <v>-0.67092061930000002</v>
      </c>
    </row>
    <row r="241" spans="1:116" x14ac:dyDescent="0.25">
      <c r="A241" t="s">
        <v>608</v>
      </c>
      <c r="B241" t="s">
        <v>609</v>
      </c>
      <c r="C241">
        <v>1000</v>
      </c>
      <c r="D241" t="s">
        <v>319</v>
      </c>
      <c r="F241">
        <v>50</v>
      </c>
      <c r="G241">
        <v>12.5</v>
      </c>
      <c r="H241">
        <v>25</v>
      </c>
      <c r="I241">
        <v>12.5</v>
      </c>
      <c r="J241">
        <f t="shared" si="6"/>
        <v>7.125</v>
      </c>
      <c r="K241">
        <f t="shared" si="7"/>
        <v>-1.2130075659799042</v>
      </c>
      <c r="L241">
        <v>32454.000390000001</v>
      </c>
      <c r="P241">
        <v>1</v>
      </c>
      <c r="W241">
        <v>46999.279439999998</v>
      </c>
      <c r="X241">
        <v>86356.09564</v>
      </c>
      <c r="AA241">
        <v>395286.26899999997</v>
      </c>
      <c r="AZ241">
        <v>0</v>
      </c>
      <c r="BA241">
        <v>-0.8796090795</v>
      </c>
      <c r="BC241">
        <v>0</v>
      </c>
      <c r="BD241">
        <v>-0.24986766790000001</v>
      </c>
      <c r="BO241">
        <v>0.45458716170000002</v>
      </c>
      <c r="BP241">
        <v>-0.69220562549999998</v>
      </c>
      <c r="BQ241">
        <v>0</v>
      </c>
      <c r="BR241">
        <v>-0.56053714659999998</v>
      </c>
      <c r="BS241">
        <v>-0.4047888529</v>
      </c>
      <c r="CQ241">
        <v>0.1401370035</v>
      </c>
      <c r="CR241">
        <v>0.67706537389999999</v>
      </c>
      <c r="CS241">
        <v>-0.72245698270000003</v>
      </c>
    </row>
    <row r="242" spans="1:116" x14ac:dyDescent="0.25">
      <c r="A242" t="s">
        <v>610</v>
      </c>
      <c r="B242" t="s">
        <v>611</v>
      </c>
      <c r="C242">
        <v>1000</v>
      </c>
      <c r="D242" t="s">
        <v>111</v>
      </c>
      <c r="E242">
        <v>37.5</v>
      </c>
      <c r="G242">
        <v>25</v>
      </c>
      <c r="H242">
        <v>25</v>
      </c>
      <c r="I242">
        <v>12.5</v>
      </c>
      <c r="J242">
        <f t="shared" si="6"/>
        <v>8.375</v>
      </c>
      <c r="K242">
        <f t="shared" si="7"/>
        <v>-1.3208883431493221</v>
      </c>
      <c r="L242">
        <v>35123.86507</v>
      </c>
      <c r="M242">
        <v>1</v>
      </c>
      <c r="R242">
        <v>36124.204010000001</v>
      </c>
      <c r="S242">
        <v>61462.550990000003</v>
      </c>
      <c r="Z242">
        <v>316664.42580000003</v>
      </c>
      <c r="AJ242">
        <v>-0.76124209949999999</v>
      </c>
      <c r="AK242">
        <v>0.63477342049999996</v>
      </c>
      <c r="AL242">
        <v>-0.63909190770000002</v>
      </c>
      <c r="AN242">
        <v>-0.42080326600000001</v>
      </c>
      <c r="AS242">
        <v>0</v>
      </c>
      <c r="AT242">
        <v>0</v>
      </c>
      <c r="BK242">
        <v>0</v>
      </c>
      <c r="BL242">
        <v>0.43430892500000001</v>
      </c>
      <c r="BN242">
        <v>0.49339140209999999</v>
      </c>
      <c r="CH242">
        <v>0.1325638354</v>
      </c>
      <c r="CI242">
        <v>0.64380598379999998</v>
      </c>
      <c r="CK242">
        <v>0.75361839289999999</v>
      </c>
    </row>
    <row r="243" spans="1:116" x14ac:dyDescent="0.25">
      <c r="A243" t="s">
        <v>612</v>
      </c>
      <c r="B243" t="s">
        <v>613</v>
      </c>
      <c r="C243">
        <v>1000</v>
      </c>
      <c r="D243" t="s">
        <v>111</v>
      </c>
      <c r="E243">
        <v>25</v>
      </c>
      <c r="F243">
        <v>12.5</v>
      </c>
      <c r="G243">
        <v>25</v>
      </c>
      <c r="H243">
        <v>25</v>
      </c>
      <c r="I243">
        <v>12.5</v>
      </c>
      <c r="J243">
        <f t="shared" si="6"/>
        <v>8</v>
      </c>
      <c r="K243">
        <f t="shared" si="7"/>
        <v>-1.5595811562598769</v>
      </c>
      <c r="L243">
        <v>34532.602200000001</v>
      </c>
      <c r="M243">
        <v>1</v>
      </c>
      <c r="R243">
        <v>43026.126980000001</v>
      </c>
      <c r="S243">
        <v>60533.279849999999</v>
      </c>
      <c r="Z243">
        <v>106085.01029999999</v>
      </c>
      <c r="AF243">
        <v>313710.34049999999</v>
      </c>
      <c r="AI243">
        <v>-0.13087267399999999</v>
      </c>
      <c r="AJ243">
        <v>-0.66572064760000005</v>
      </c>
      <c r="AK243">
        <v>0.73433681819999996</v>
      </c>
      <c r="AL243">
        <v>-0.52414012359999995</v>
      </c>
      <c r="AM243">
        <v>0.14621104560000001</v>
      </c>
      <c r="AN243">
        <v>-0.588100242</v>
      </c>
      <c r="AS243">
        <v>0</v>
      </c>
      <c r="AT243">
        <v>0</v>
      </c>
      <c r="BK243">
        <v>0</v>
      </c>
      <c r="BL243">
        <v>-3.461805875E-2</v>
      </c>
      <c r="BM243">
        <v>-0.9242957342</v>
      </c>
      <c r="BN243">
        <v>0.15443546129999999</v>
      </c>
      <c r="CH243">
        <v>2.092367362E-2</v>
      </c>
      <c r="CI243">
        <v>0.59836240389999995</v>
      </c>
      <c r="CK243">
        <v>0.34731638889999999</v>
      </c>
      <c r="CT243">
        <v>-0.72173122359999997</v>
      </c>
      <c r="CU243">
        <v>0</v>
      </c>
      <c r="CV243">
        <v>-0.42991646369999997</v>
      </c>
      <c r="CW243">
        <v>-0.32737145140000001</v>
      </c>
      <c r="CX243">
        <v>-0.43255497679999999</v>
      </c>
    </row>
    <row r="244" spans="1:116" x14ac:dyDescent="0.25">
      <c r="A244" t="s">
        <v>614</v>
      </c>
      <c r="B244" t="s">
        <v>615</v>
      </c>
      <c r="C244">
        <v>1000</v>
      </c>
      <c r="D244" t="s">
        <v>215</v>
      </c>
      <c r="E244">
        <v>12.5</v>
      </c>
      <c r="F244">
        <v>25</v>
      </c>
      <c r="G244">
        <v>25</v>
      </c>
      <c r="H244">
        <v>25</v>
      </c>
      <c r="I244">
        <v>12.5</v>
      </c>
      <c r="J244">
        <f t="shared" si="6"/>
        <v>7.625</v>
      </c>
      <c r="K244">
        <f t="shared" si="7"/>
        <v>-1.5595811562598769</v>
      </c>
      <c r="L244">
        <v>34187.701650000003</v>
      </c>
      <c r="M244">
        <v>0.86426097749999997</v>
      </c>
      <c r="P244">
        <v>0.1357390225</v>
      </c>
      <c r="R244">
        <v>42641.048569999999</v>
      </c>
      <c r="S244">
        <v>73216.725560000006</v>
      </c>
      <c r="W244">
        <v>45954.98012</v>
      </c>
      <c r="X244">
        <v>86148.907600000006</v>
      </c>
      <c r="Z244">
        <v>81033.37904</v>
      </c>
      <c r="AA244">
        <v>153095.18979999999</v>
      </c>
      <c r="AF244">
        <v>315077.70490000001</v>
      </c>
      <c r="AG244">
        <v>395309.89140000002</v>
      </c>
      <c r="AI244">
        <v>0.53894742090000003</v>
      </c>
      <c r="AJ244">
        <v>0.17806767370000001</v>
      </c>
      <c r="AK244">
        <v>-0.80929927300000004</v>
      </c>
      <c r="AL244">
        <v>0.26414354499999998</v>
      </c>
      <c r="AM244">
        <v>0.4063656947</v>
      </c>
      <c r="AN244">
        <v>0.54887969110000001</v>
      </c>
      <c r="AS244">
        <v>0</v>
      </c>
      <c r="AT244">
        <v>0</v>
      </c>
      <c r="AZ244">
        <v>0</v>
      </c>
      <c r="BA244">
        <v>0.5960734875</v>
      </c>
      <c r="BB244">
        <v>9.6888619940000004E-2</v>
      </c>
      <c r="BC244">
        <v>0</v>
      </c>
      <c r="BD244">
        <v>0.7365500532</v>
      </c>
      <c r="BE244">
        <v>-7.8575286879999998E-2</v>
      </c>
      <c r="BK244">
        <v>0</v>
      </c>
      <c r="BL244">
        <v>0.27808486609999999</v>
      </c>
      <c r="BM244">
        <v>0.66234602679999999</v>
      </c>
      <c r="BN244">
        <v>-0.69343544779999999</v>
      </c>
      <c r="BO244">
        <v>-0.7852272468</v>
      </c>
      <c r="BP244">
        <v>0.464910832</v>
      </c>
      <c r="BQ244">
        <v>0</v>
      </c>
      <c r="BR244">
        <v>0.23556999949999999</v>
      </c>
      <c r="BS244">
        <v>0.24933208230000001</v>
      </c>
      <c r="BT244">
        <v>-0.62064174110000003</v>
      </c>
      <c r="CH244">
        <v>0.15120273719999999</v>
      </c>
      <c r="CI244">
        <v>-0.68104786510000004</v>
      </c>
      <c r="CK244">
        <v>-5.5801682640000003E-2</v>
      </c>
      <c r="CQ244">
        <v>0.1368472278</v>
      </c>
      <c r="CR244">
        <v>-0.48495140149999999</v>
      </c>
      <c r="CS244">
        <v>0.70508447529999996</v>
      </c>
      <c r="CT244">
        <v>-0.71428125379999996</v>
      </c>
      <c r="CU244">
        <v>0</v>
      </c>
      <c r="CV244">
        <v>-0.44489514260000002</v>
      </c>
      <c r="CW244">
        <v>-0.32511588720000001</v>
      </c>
      <c r="CX244">
        <v>-0.43147452120000002</v>
      </c>
      <c r="CZ244">
        <v>0.49894973250000002</v>
      </c>
      <c r="DA244">
        <v>0</v>
      </c>
      <c r="DB244">
        <v>0.33433944469999999</v>
      </c>
      <c r="DC244">
        <v>0.20005981370000001</v>
      </c>
      <c r="DD244">
        <v>0.77410746740000003</v>
      </c>
    </row>
    <row r="245" spans="1:116" x14ac:dyDescent="0.25">
      <c r="A245" t="s">
        <v>616</v>
      </c>
      <c r="B245" t="s">
        <v>617</v>
      </c>
      <c r="C245">
        <v>1000</v>
      </c>
      <c r="D245" t="s">
        <v>319</v>
      </c>
      <c r="F245">
        <v>37.5</v>
      </c>
      <c r="G245">
        <v>25</v>
      </c>
      <c r="H245">
        <v>25</v>
      </c>
      <c r="I245">
        <v>12.5</v>
      </c>
      <c r="J245">
        <f t="shared" si="6"/>
        <v>7.25</v>
      </c>
      <c r="K245">
        <f t="shared" si="7"/>
        <v>-1.3208883431493221</v>
      </c>
      <c r="L245">
        <v>34121.91876</v>
      </c>
      <c r="P245">
        <v>1</v>
      </c>
      <c r="W245">
        <v>36713.56925</v>
      </c>
      <c r="X245">
        <v>77011.343340000007</v>
      </c>
      <c r="AA245">
        <v>360095.42660000001</v>
      </c>
      <c r="AZ245">
        <v>0</v>
      </c>
      <c r="BA245">
        <v>-0.6882439816</v>
      </c>
      <c r="BC245">
        <v>0</v>
      </c>
      <c r="BD245">
        <v>0.57956437810000005</v>
      </c>
      <c r="BO245">
        <v>0.71945577279999995</v>
      </c>
      <c r="BP245">
        <v>0.46790279540000002</v>
      </c>
      <c r="BQ245">
        <v>0</v>
      </c>
      <c r="BR245">
        <v>0.51327416660000003</v>
      </c>
      <c r="BS245">
        <v>0.43637753730000001</v>
      </c>
      <c r="CQ245">
        <v>-9.32931553E-2</v>
      </c>
      <c r="CR245">
        <v>-0.66721218940000004</v>
      </c>
      <c r="CS245">
        <v>0.73900221570000002</v>
      </c>
    </row>
    <row r="246" spans="1:116" x14ac:dyDescent="0.25">
      <c r="A246" t="s">
        <v>618</v>
      </c>
      <c r="B246" t="s">
        <v>619</v>
      </c>
      <c r="C246">
        <v>1000</v>
      </c>
      <c r="D246" t="s">
        <v>111</v>
      </c>
      <c r="E246">
        <v>25</v>
      </c>
      <c r="G246">
        <v>37.5</v>
      </c>
      <c r="H246">
        <v>25</v>
      </c>
      <c r="I246">
        <v>12.5</v>
      </c>
      <c r="J246">
        <f t="shared" si="6"/>
        <v>8.125</v>
      </c>
      <c r="K246">
        <f t="shared" si="7"/>
        <v>-1.3208883431493221</v>
      </c>
      <c r="L246">
        <v>36885.364320000001</v>
      </c>
      <c r="M246">
        <v>1</v>
      </c>
      <c r="R246">
        <v>31912.441289999999</v>
      </c>
      <c r="S246">
        <v>63388.442199999998</v>
      </c>
      <c r="Z246">
        <v>304139.07689999999</v>
      </c>
      <c r="AJ246">
        <v>0.61128936649999999</v>
      </c>
      <c r="AK246">
        <v>-0.79030667759999995</v>
      </c>
      <c r="AL246">
        <v>-0.43510621729999999</v>
      </c>
      <c r="AN246">
        <v>-0.60786752789999998</v>
      </c>
      <c r="AS246">
        <v>0</v>
      </c>
      <c r="AT246">
        <v>0</v>
      </c>
      <c r="BK246">
        <v>0</v>
      </c>
      <c r="BL246">
        <v>-0.43138619189999999</v>
      </c>
      <c r="BN246">
        <v>-0.50677973890000005</v>
      </c>
      <c r="CH246">
        <v>4.1721286830000003E-2</v>
      </c>
      <c r="CI246">
        <v>0.6642135562</v>
      </c>
      <c r="CK246">
        <v>-0.74637808760000002</v>
      </c>
    </row>
    <row r="247" spans="1:116" x14ac:dyDescent="0.25">
      <c r="A247" t="s">
        <v>620</v>
      </c>
      <c r="B247" t="s">
        <v>621</v>
      </c>
      <c r="C247">
        <v>1000</v>
      </c>
      <c r="D247" t="s">
        <v>301</v>
      </c>
      <c r="E247">
        <v>12.5</v>
      </c>
      <c r="F247">
        <v>12.5</v>
      </c>
      <c r="G247">
        <v>37.5</v>
      </c>
      <c r="H247">
        <v>25</v>
      </c>
      <c r="I247">
        <v>12.5</v>
      </c>
      <c r="J247">
        <f t="shared" si="6"/>
        <v>7.75</v>
      </c>
      <c r="K247">
        <f t="shared" si="7"/>
        <v>-1.4941751382893085</v>
      </c>
      <c r="L247">
        <v>36317.336750000002</v>
      </c>
      <c r="M247">
        <v>0.99469289559999996</v>
      </c>
      <c r="Q247">
        <v>5.3071044410000004E-3</v>
      </c>
      <c r="R247">
        <v>37209.168489999996</v>
      </c>
      <c r="S247">
        <v>81678.802849999993</v>
      </c>
      <c r="Z247">
        <v>113288.0594</v>
      </c>
      <c r="AB247">
        <v>41548.946830000001</v>
      </c>
      <c r="AC247">
        <v>136571.8958</v>
      </c>
      <c r="AD247">
        <v>145903.66899999999</v>
      </c>
      <c r="AF247">
        <v>316603.76169999997</v>
      </c>
      <c r="AH247">
        <v>223164.9056</v>
      </c>
      <c r="AI247">
        <v>0.2593321247</v>
      </c>
      <c r="AJ247">
        <v>0.27368644520000002</v>
      </c>
      <c r="AK247">
        <v>-0.89890985229999998</v>
      </c>
      <c r="AL247">
        <v>9.9451079689999999E-2</v>
      </c>
      <c r="AM247">
        <v>9.603815081E-2</v>
      </c>
      <c r="AN247">
        <v>0.7566933119</v>
      </c>
      <c r="AS247">
        <v>0</v>
      </c>
      <c r="AT247">
        <v>0</v>
      </c>
      <c r="BK247">
        <v>0</v>
      </c>
      <c r="BL247">
        <v>-7.1650160990000003E-2</v>
      </c>
      <c r="BM247">
        <v>-0.88215247809999997</v>
      </c>
      <c r="BN247">
        <v>0.36515280410000001</v>
      </c>
      <c r="BV247">
        <v>0</v>
      </c>
      <c r="BW247">
        <v>-0.20481152920000001</v>
      </c>
      <c r="BX247">
        <v>0.96951992580000002</v>
      </c>
      <c r="BY247">
        <v>1.7208158580000001E-2</v>
      </c>
      <c r="BZ247">
        <v>0</v>
      </c>
      <c r="CA247">
        <v>-0.156919684</v>
      </c>
      <c r="CB247">
        <v>-0.92242291089999995</v>
      </c>
      <c r="CC247">
        <v>0.18606399940000001</v>
      </c>
      <c r="CD247">
        <v>0</v>
      </c>
      <c r="CE247">
        <v>-0.18812466559999999</v>
      </c>
      <c r="CF247">
        <v>-0.28939678330000002</v>
      </c>
      <c r="CG247">
        <v>-8.7593433050000002E-2</v>
      </c>
      <c r="CH247">
        <v>0.223167328</v>
      </c>
      <c r="CI247">
        <v>-0.63898465410000005</v>
      </c>
      <c r="CK247">
        <v>0.28868094770000002</v>
      </c>
      <c r="CT247">
        <v>-0.67716863569999997</v>
      </c>
      <c r="CU247">
        <v>0</v>
      </c>
      <c r="CV247">
        <v>-0.42063524349999998</v>
      </c>
      <c r="CW247">
        <v>-0.38122453319999999</v>
      </c>
      <c r="CX247">
        <v>-0.46816288410000001</v>
      </c>
      <c r="DE247">
        <v>-0.1333687757</v>
      </c>
      <c r="DF247">
        <v>0.29982057039999999</v>
      </c>
      <c r="DG247">
        <v>-0.93444422120000004</v>
      </c>
      <c r="DH247">
        <v>-0.13831996360000001</v>
      </c>
      <c r="DI247">
        <v>0</v>
      </c>
      <c r="DJ247">
        <v>-4.0513653E-3</v>
      </c>
      <c r="DK247">
        <v>0.1531006597</v>
      </c>
      <c r="DL247">
        <v>0.97847399660000001</v>
      </c>
    </row>
    <row r="248" spans="1:116" x14ac:dyDescent="0.25">
      <c r="A248" t="s">
        <v>622</v>
      </c>
      <c r="B248" t="s">
        <v>623</v>
      </c>
      <c r="C248">
        <v>1000</v>
      </c>
      <c r="D248" t="s">
        <v>362</v>
      </c>
      <c r="F248">
        <v>25</v>
      </c>
      <c r="G248">
        <v>37.5</v>
      </c>
      <c r="H248">
        <v>25</v>
      </c>
      <c r="I248">
        <v>12.5</v>
      </c>
      <c r="J248">
        <f t="shared" si="6"/>
        <v>7.375</v>
      </c>
      <c r="K248">
        <f t="shared" si="7"/>
        <v>-1.3208883431493221</v>
      </c>
      <c r="L248">
        <v>35832.323940000002</v>
      </c>
      <c r="M248">
        <v>6.285603696E-2</v>
      </c>
      <c r="Q248">
        <v>0.93714396300000002</v>
      </c>
      <c r="R248">
        <v>30131.867910000001</v>
      </c>
      <c r="S248">
        <v>76373.5723</v>
      </c>
      <c r="Z248">
        <v>311038.34460000001</v>
      </c>
      <c r="AB248">
        <v>32053.447390000001</v>
      </c>
      <c r="AC248">
        <v>88376.36808</v>
      </c>
      <c r="AD248">
        <v>176890.0013</v>
      </c>
      <c r="AI248">
        <v>-0.51375543499999998</v>
      </c>
      <c r="AK248">
        <v>0.82124026269999995</v>
      </c>
      <c r="AL248">
        <v>-0.23758794129999999</v>
      </c>
      <c r="AM248">
        <v>-0.7034460951</v>
      </c>
      <c r="AS248">
        <v>0</v>
      </c>
      <c r="AT248">
        <v>0</v>
      </c>
      <c r="BK248">
        <v>0</v>
      </c>
      <c r="BL248">
        <v>0.51876331409999998</v>
      </c>
      <c r="BM248">
        <v>0.49114097410000002</v>
      </c>
      <c r="BV248">
        <v>0</v>
      </c>
      <c r="BW248">
        <v>0.52042169130000004</v>
      </c>
      <c r="BX248">
        <v>-0.83534146809999998</v>
      </c>
      <c r="BZ248">
        <v>0</v>
      </c>
      <c r="CA248">
        <v>0.35507429979999999</v>
      </c>
      <c r="CB248">
        <v>0.7567318676</v>
      </c>
      <c r="CD248">
        <v>0</v>
      </c>
      <c r="CE248">
        <v>-0.41967361130000003</v>
      </c>
      <c r="CF248">
        <v>-0.3956247846</v>
      </c>
      <c r="CH248">
        <v>-0.2482333256</v>
      </c>
      <c r="CI248">
        <v>0.66986234509999998</v>
      </c>
      <c r="CK248">
        <v>0.69976079300000005</v>
      </c>
      <c r="DE248">
        <v>0.1771041921</v>
      </c>
      <c r="DF248">
        <v>-0.54888898890000004</v>
      </c>
      <c r="DG248">
        <v>-0.81691804349999997</v>
      </c>
    </row>
    <row r="249" spans="1:116" x14ac:dyDescent="0.25">
      <c r="A249" t="s">
        <v>624</v>
      </c>
      <c r="B249" t="s">
        <v>625</v>
      </c>
      <c r="C249">
        <v>1000</v>
      </c>
      <c r="D249" t="s">
        <v>111</v>
      </c>
      <c r="E249">
        <v>12.5</v>
      </c>
      <c r="G249">
        <v>50</v>
      </c>
      <c r="H249">
        <v>25</v>
      </c>
      <c r="I249">
        <v>12.5</v>
      </c>
      <c r="J249">
        <f t="shared" si="6"/>
        <v>7.875</v>
      </c>
      <c r="K249">
        <f t="shared" si="7"/>
        <v>-1.2130075659799042</v>
      </c>
      <c r="L249">
        <v>38197.568209999998</v>
      </c>
      <c r="M249">
        <v>1</v>
      </c>
      <c r="R249">
        <v>36051.227220000001</v>
      </c>
      <c r="S249">
        <v>82944.28585</v>
      </c>
      <c r="Z249">
        <v>301392.61080000002</v>
      </c>
      <c r="AJ249">
        <v>-0.37442340660000001</v>
      </c>
      <c r="AK249">
        <v>0.89563951639999995</v>
      </c>
      <c r="AL249">
        <v>0.1281563037</v>
      </c>
      <c r="AN249">
        <v>0.73411587540000001</v>
      </c>
      <c r="AS249">
        <v>0</v>
      </c>
      <c r="AT249">
        <v>0</v>
      </c>
      <c r="BK249">
        <v>0</v>
      </c>
      <c r="BL249">
        <v>-0.42591762059999999</v>
      </c>
      <c r="BN249">
        <v>-0.56646358730000002</v>
      </c>
      <c r="CH249">
        <v>-0.24007700700000001</v>
      </c>
      <c r="CI249">
        <v>-0.66682069799999999</v>
      </c>
      <c r="CK249">
        <v>-0.70548790539999995</v>
      </c>
    </row>
    <row r="250" spans="1:116" x14ac:dyDescent="0.25">
      <c r="A250" t="s">
        <v>626</v>
      </c>
      <c r="B250" t="s">
        <v>627</v>
      </c>
      <c r="C250">
        <v>1000</v>
      </c>
      <c r="D250" t="s">
        <v>362</v>
      </c>
      <c r="F250">
        <v>12.5</v>
      </c>
      <c r="G250">
        <v>50</v>
      </c>
      <c r="H250">
        <v>25</v>
      </c>
      <c r="I250">
        <v>12.5</v>
      </c>
      <c r="J250">
        <f t="shared" si="6"/>
        <v>7.5</v>
      </c>
      <c r="K250">
        <f t="shared" si="7"/>
        <v>-1.2130075659799042</v>
      </c>
      <c r="L250">
        <v>37299.860840000001</v>
      </c>
      <c r="M250">
        <v>0.35083260830000002</v>
      </c>
      <c r="Q250">
        <v>0.64916739170000004</v>
      </c>
      <c r="R250">
        <v>34452.313820000003</v>
      </c>
      <c r="S250">
        <v>101281.0664</v>
      </c>
      <c r="Z250">
        <v>307392.74819999997</v>
      </c>
      <c r="AB250">
        <v>32569.550179999998</v>
      </c>
      <c r="AC250">
        <v>115760.31849999999</v>
      </c>
      <c r="AD250">
        <v>179688.0765</v>
      </c>
      <c r="AI250">
        <v>0.33399806339999999</v>
      </c>
      <c r="AK250">
        <v>-0.87263205779999997</v>
      </c>
      <c r="AL250">
        <v>2.067686149E-2</v>
      </c>
      <c r="AM250">
        <v>0.7541950167</v>
      </c>
      <c r="AS250">
        <v>0</v>
      </c>
      <c r="AT250">
        <v>0</v>
      </c>
      <c r="BK250">
        <v>0</v>
      </c>
      <c r="BL250">
        <v>-0.48793980920000002</v>
      </c>
      <c r="BM250">
        <v>-0.56536284169999995</v>
      </c>
      <c r="BV250">
        <v>0</v>
      </c>
      <c r="BW250">
        <v>0.32526873560000003</v>
      </c>
      <c r="BX250">
        <v>-0.92263775690000005</v>
      </c>
      <c r="BZ250">
        <v>0</v>
      </c>
      <c r="CA250">
        <v>0.10298705750000001</v>
      </c>
      <c r="CB250">
        <v>0.72558235550000005</v>
      </c>
      <c r="CD250">
        <v>0</v>
      </c>
      <c r="CE250">
        <v>0.37166188189999999</v>
      </c>
      <c r="CF250">
        <v>0.60640843759999996</v>
      </c>
      <c r="CH250">
        <v>0.35631248269999999</v>
      </c>
      <c r="CI250">
        <v>-0.65632487699999997</v>
      </c>
      <c r="CK250">
        <v>-0.66504105120000001</v>
      </c>
      <c r="DE250">
        <v>0.20721925390000001</v>
      </c>
      <c r="DF250">
        <v>-0.68038511989999995</v>
      </c>
      <c r="DG250">
        <v>0.70294825719999998</v>
      </c>
    </row>
    <row r="251" spans="1:116" x14ac:dyDescent="0.25">
      <c r="A251" t="s">
        <v>628</v>
      </c>
      <c r="B251" t="s">
        <v>629</v>
      </c>
      <c r="C251">
        <v>1000</v>
      </c>
      <c r="D251" t="s">
        <v>362</v>
      </c>
      <c r="G251">
        <v>62.5</v>
      </c>
      <c r="H251">
        <v>25</v>
      </c>
      <c r="I251">
        <v>12.5</v>
      </c>
      <c r="J251">
        <f t="shared" si="6"/>
        <v>7.625</v>
      </c>
      <c r="K251">
        <f t="shared" si="7"/>
        <v>-0.90025605126853692</v>
      </c>
      <c r="L251">
        <v>38598.21516</v>
      </c>
      <c r="M251">
        <v>0.17392806320000001</v>
      </c>
      <c r="Q251">
        <v>0.82607193680000002</v>
      </c>
      <c r="R251">
        <v>43515.209459999998</v>
      </c>
      <c r="S251">
        <v>232508.95680000001</v>
      </c>
      <c r="AB251">
        <v>41451.672070000001</v>
      </c>
      <c r="AC251">
        <v>148952.0153</v>
      </c>
      <c r="AK251">
        <v>-0.84406670910000003</v>
      </c>
      <c r="AL251">
        <v>-0.53623867290000005</v>
      </c>
      <c r="AS251">
        <v>0</v>
      </c>
      <c r="AT251">
        <v>0</v>
      </c>
      <c r="BV251">
        <v>0</v>
      </c>
      <c r="BX251">
        <v>-0.94290591550000002</v>
      </c>
      <c r="BZ251">
        <v>0</v>
      </c>
      <c r="CA251">
        <v>-0.33305771169999998</v>
      </c>
      <c r="CH251">
        <v>0.53623818450000005</v>
      </c>
      <c r="CI251">
        <v>-0.84406639890000001</v>
      </c>
      <c r="DE251">
        <v>0.33305920579999998</v>
      </c>
      <c r="DF251">
        <v>-0.94290644320000006</v>
      </c>
    </row>
    <row r="252" spans="1:116" x14ac:dyDescent="0.25">
      <c r="A252" t="s">
        <v>630</v>
      </c>
      <c r="B252" t="s">
        <v>631</v>
      </c>
      <c r="C252">
        <v>1000</v>
      </c>
      <c r="D252" t="s">
        <v>111</v>
      </c>
      <c r="E252">
        <v>50</v>
      </c>
      <c r="H252">
        <v>37.5</v>
      </c>
      <c r="I252">
        <v>12.5</v>
      </c>
      <c r="J252">
        <f t="shared" si="6"/>
        <v>8.375</v>
      </c>
      <c r="K252">
        <f t="shared" si="7"/>
        <v>-0.97431475286934943</v>
      </c>
      <c r="L252">
        <v>33233.623570000003</v>
      </c>
      <c r="M252">
        <v>1</v>
      </c>
      <c r="R252">
        <v>48392.028330000001</v>
      </c>
      <c r="S252">
        <v>230750.5613</v>
      </c>
      <c r="AJ252">
        <v>0.88542915479999995</v>
      </c>
      <c r="AN252">
        <v>0.46477436859999999</v>
      </c>
      <c r="AS252">
        <v>0</v>
      </c>
      <c r="AT252">
        <v>0</v>
      </c>
      <c r="CH252">
        <v>-0.46477436659999999</v>
      </c>
      <c r="CI252">
        <v>0.88542915379999998</v>
      </c>
    </row>
    <row r="253" spans="1:116" x14ac:dyDescent="0.25">
      <c r="A253" t="s">
        <v>632</v>
      </c>
      <c r="B253" t="s">
        <v>633</v>
      </c>
      <c r="C253">
        <v>1000</v>
      </c>
      <c r="D253" t="s">
        <v>111</v>
      </c>
      <c r="E253">
        <v>37.5</v>
      </c>
      <c r="F253">
        <v>12.5</v>
      </c>
      <c r="H253">
        <v>37.5</v>
      </c>
      <c r="I253">
        <v>12.5</v>
      </c>
      <c r="J253">
        <f t="shared" si="6"/>
        <v>8</v>
      </c>
      <c r="K253">
        <f t="shared" si="7"/>
        <v>-1.2554823251787535</v>
      </c>
      <c r="L253">
        <v>32428.259719999998</v>
      </c>
      <c r="M253">
        <v>1</v>
      </c>
      <c r="R253">
        <v>45947.085129999999</v>
      </c>
      <c r="S253">
        <v>94209.606589999996</v>
      </c>
      <c r="Z253">
        <v>212598.09640000001</v>
      </c>
      <c r="AI253">
        <v>0.15624950200000001</v>
      </c>
      <c r="AJ253">
        <v>-0.91308453150000002</v>
      </c>
      <c r="AM253">
        <v>0.9739921413</v>
      </c>
      <c r="AN253">
        <v>7.9085469840000006E-2</v>
      </c>
      <c r="AS253">
        <v>0</v>
      </c>
      <c r="AT253">
        <v>0</v>
      </c>
      <c r="BK253">
        <v>0</v>
      </c>
      <c r="BM253">
        <v>-0.1640896104</v>
      </c>
      <c r="BN253">
        <v>-0.40002766140000001</v>
      </c>
      <c r="CH253">
        <v>0.37664669319999999</v>
      </c>
      <c r="CI253">
        <v>-0.21233180909999999</v>
      </c>
      <c r="CK253">
        <v>-0.90169422190000004</v>
      </c>
    </row>
    <row r="254" spans="1:116" x14ac:dyDescent="0.25">
      <c r="A254" t="s">
        <v>634</v>
      </c>
      <c r="B254" t="s">
        <v>635</v>
      </c>
      <c r="C254">
        <v>1000</v>
      </c>
      <c r="D254" t="s">
        <v>215</v>
      </c>
      <c r="E254">
        <v>25</v>
      </c>
      <c r="F254">
        <v>25</v>
      </c>
      <c r="H254">
        <v>37.5</v>
      </c>
      <c r="I254">
        <v>12.5</v>
      </c>
      <c r="J254">
        <f t="shared" si="6"/>
        <v>7.625</v>
      </c>
      <c r="K254">
        <f t="shared" si="7"/>
        <v>-1.3208883431493221</v>
      </c>
      <c r="L254">
        <v>31139.632010000001</v>
      </c>
      <c r="M254">
        <v>0.54375733410000004</v>
      </c>
      <c r="P254">
        <v>0.45624266590000001</v>
      </c>
      <c r="R254">
        <v>44956.107649999998</v>
      </c>
      <c r="S254">
        <v>57506.366300000002</v>
      </c>
      <c r="W254">
        <v>76948.397800000006</v>
      </c>
      <c r="X254">
        <v>90741.825519999999</v>
      </c>
      <c r="Z254">
        <v>229024.72510000001</v>
      </c>
      <c r="AA254">
        <v>343198.45679999999</v>
      </c>
      <c r="AI254">
        <v>-0.23100117810000001</v>
      </c>
      <c r="AJ254">
        <v>0.90092780130000005</v>
      </c>
      <c r="AM254">
        <v>-0.94861410229999998</v>
      </c>
      <c r="AN254">
        <v>-0.1246205606</v>
      </c>
      <c r="AS254">
        <v>0</v>
      </c>
      <c r="AT254">
        <v>0</v>
      </c>
      <c r="AZ254">
        <v>0</v>
      </c>
      <c r="BA254">
        <v>-0.97902403549999995</v>
      </c>
      <c r="BB254">
        <v>0.1409134698</v>
      </c>
      <c r="BC254">
        <v>0</v>
      </c>
      <c r="BD254">
        <v>4.8067946370000001E-3</v>
      </c>
      <c r="BE254">
        <v>0.73803733540000005</v>
      </c>
      <c r="BK254">
        <v>0</v>
      </c>
      <c r="BM254">
        <v>0.21626310900000001</v>
      </c>
      <c r="BN254">
        <v>0.4156907735</v>
      </c>
      <c r="BQ254">
        <v>0</v>
      </c>
      <c r="BS254">
        <v>0.20368808930000001</v>
      </c>
      <c r="BT254">
        <v>0.65988207310000002</v>
      </c>
      <c r="CH254">
        <v>-0.36737930330000002</v>
      </c>
      <c r="CI254">
        <v>0.29086251200000002</v>
      </c>
      <c r="CK254">
        <v>0.88342031249999997</v>
      </c>
      <c r="CQ254">
        <v>0.14715750750000001</v>
      </c>
      <c r="CR254">
        <v>-0.67474275559999997</v>
      </c>
      <c r="CS254">
        <v>0.72323358039999996</v>
      </c>
    </row>
    <row r="255" spans="1:116" x14ac:dyDescent="0.25">
      <c r="A255" t="s">
        <v>636</v>
      </c>
      <c r="B255" t="s">
        <v>637</v>
      </c>
      <c r="C255">
        <v>1000</v>
      </c>
      <c r="D255" t="s">
        <v>291</v>
      </c>
      <c r="E255">
        <v>12.5</v>
      </c>
      <c r="F255">
        <v>37.5</v>
      </c>
      <c r="H255">
        <v>37.5</v>
      </c>
      <c r="I255">
        <v>12.5</v>
      </c>
      <c r="J255">
        <f t="shared" si="6"/>
        <v>7.25</v>
      </c>
      <c r="K255">
        <f t="shared" si="7"/>
        <v>-1.2554823251787535</v>
      </c>
      <c r="L255">
        <v>30440.239610000001</v>
      </c>
      <c r="M255">
        <v>4.1829018189999997E-2</v>
      </c>
      <c r="P255">
        <v>0.95817098180000004</v>
      </c>
      <c r="R255">
        <v>47096.93361</v>
      </c>
      <c r="S255">
        <v>49424.56856</v>
      </c>
      <c r="W255">
        <v>62376.583709999999</v>
      </c>
      <c r="X255">
        <v>96530.682849999997</v>
      </c>
      <c r="Z255">
        <v>271725.66840000002</v>
      </c>
      <c r="AA255">
        <v>353615.0048</v>
      </c>
      <c r="AI255">
        <v>0.43435710150000001</v>
      </c>
      <c r="AJ255">
        <v>0.72458632590000005</v>
      </c>
      <c r="AM255">
        <v>-0.84549951099999998</v>
      </c>
      <c r="AN255">
        <v>0.53281621700000004</v>
      </c>
      <c r="AS255">
        <v>0</v>
      </c>
      <c r="AT255">
        <v>0</v>
      </c>
      <c r="AZ255">
        <v>0</v>
      </c>
      <c r="BA255">
        <v>-0.96941068159999999</v>
      </c>
      <c r="BB255">
        <v>0.17923059829999999</v>
      </c>
      <c r="BC255">
        <v>0</v>
      </c>
      <c r="BD255">
        <v>1.3022822829999999E-2</v>
      </c>
      <c r="BE255">
        <v>0.71979958229999996</v>
      </c>
      <c r="BK255">
        <v>0</v>
      </c>
      <c r="BM255">
        <v>0.31058741410000001</v>
      </c>
      <c r="BN255">
        <v>0.43712867439999997</v>
      </c>
      <c r="BQ255">
        <v>0</v>
      </c>
      <c r="BS255">
        <v>0.2450986295</v>
      </c>
      <c r="BT255">
        <v>0.67064520780000003</v>
      </c>
      <c r="CH255">
        <v>-0.53507809210000001</v>
      </c>
      <c r="CI255">
        <v>3.517749136E-2</v>
      </c>
      <c r="CK255">
        <v>0.84406989060000004</v>
      </c>
      <c r="CQ255">
        <v>0.16768817220000001</v>
      </c>
      <c r="CR255">
        <v>-0.69405977220000004</v>
      </c>
      <c r="CS255">
        <v>0.70011546700000005</v>
      </c>
    </row>
    <row r="256" spans="1:116" x14ac:dyDescent="0.25">
      <c r="A256" t="s">
        <v>638</v>
      </c>
      <c r="B256" t="s">
        <v>639</v>
      </c>
      <c r="C256">
        <v>1000</v>
      </c>
      <c r="D256" t="s">
        <v>294</v>
      </c>
      <c r="F256">
        <v>50</v>
      </c>
      <c r="H256">
        <v>37.5</v>
      </c>
      <c r="I256">
        <v>12.5</v>
      </c>
      <c r="J256">
        <f t="shared" si="6"/>
        <v>6.875</v>
      </c>
      <c r="K256">
        <f t="shared" si="7"/>
        <v>-0.97431475286934943</v>
      </c>
      <c r="L256">
        <v>29208.462960000001</v>
      </c>
      <c r="P256">
        <v>0.31885280490000001</v>
      </c>
      <c r="Q256">
        <v>0.68114719509999999</v>
      </c>
      <c r="W256">
        <v>50708.877039999999</v>
      </c>
      <c r="X256">
        <v>243106.14180000001</v>
      </c>
      <c r="AB256">
        <v>45714.214449999999</v>
      </c>
      <c r="AC256">
        <v>130686.1373</v>
      </c>
      <c r="AZ256">
        <v>0</v>
      </c>
      <c r="BA256">
        <v>-0.93421922239999999</v>
      </c>
      <c r="BC256">
        <v>0</v>
      </c>
      <c r="BD256">
        <v>-0.35669938579999999</v>
      </c>
      <c r="BV256">
        <v>0</v>
      </c>
      <c r="BW256">
        <v>-0.99960965889999998</v>
      </c>
      <c r="BZ256">
        <v>0</v>
      </c>
      <c r="CB256">
        <v>2.7937902949999999E-2</v>
      </c>
      <c r="CQ256">
        <v>0.35669937559999998</v>
      </c>
      <c r="CR256">
        <v>-0.9342192185</v>
      </c>
      <c r="DE256">
        <v>-2.793796577E-2</v>
      </c>
      <c r="DF256">
        <v>-0.99960966060000001</v>
      </c>
    </row>
    <row r="257" spans="1:116" x14ac:dyDescent="0.25">
      <c r="A257" t="s">
        <v>640</v>
      </c>
      <c r="B257" t="s">
        <v>641</v>
      </c>
      <c r="C257">
        <v>1000</v>
      </c>
      <c r="D257" t="s">
        <v>111</v>
      </c>
      <c r="E257">
        <v>37.5</v>
      </c>
      <c r="G257">
        <v>12.5</v>
      </c>
      <c r="H257">
        <v>37.5</v>
      </c>
      <c r="I257">
        <v>12.5</v>
      </c>
      <c r="J257">
        <f t="shared" si="6"/>
        <v>8.125</v>
      </c>
      <c r="K257">
        <f t="shared" si="7"/>
        <v>-1.2554823251787535</v>
      </c>
      <c r="L257">
        <v>35941.195319999999</v>
      </c>
      <c r="M257">
        <v>1</v>
      </c>
      <c r="R257">
        <v>46370.16562</v>
      </c>
      <c r="S257">
        <v>83773.869049999994</v>
      </c>
      <c r="Z257">
        <v>251653.28890000001</v>
      </c>
      <c r="AJ257">
        <v>0.89829344929999999</v>
      </c>
      <c r="AK257">
        <v>-0.28925506540000001</v>
      </c>
      <c r="AL257">
        <v>-0.84899866469999996</v>
      </c>
      <c r="AN257">
        <v>-8.1130568119999996E-2</v>
      </c>
      <c r="AS257">
        <v>0</v>
      </c>
      <c r="AT257">
        <v>0</v>
      </c>
      <c r="BK257">
        <v>0</v>
      </c>
      <c r="BL257">
        <v>-0.44219088400000001</v>
      </c>
      <c r="BN257">
        <v>-0.43184107109999997</v>
      </c>
      <c r="CH257">
        <v>-0.33075729190000003</v>
      </c>
      <c r="CI257">
        <v>0.52212938840000001</v>
      </c>
      <c r="CK257">
        <v>-0.78611736489999995</v>
      </c>
    </row>
    <row r="258" spans="1:116" x14ac:dyDescent="0.25">
      <c r="A258" t="s">
        <v>642</v>
      </c>
      <c r="B258" t="s">
        <v>643</v>
      </c>
      <c r="C258">
        <v>1000</v>
      </c>
      <c r="D258" t="s">
        <v>301</v>
      </c>
      <c r="E258">
        <v>25</v>
      </c>
      <c r="F258">
        <v>12.5</v>
      </c>
      <c r="G258">
        <v>12.5</v>
      </c>
      <c r="H258">
        <v>37.5</v>
      </c>
      <c r="I258">
        <v>12.5</v>
      </c>
      <c r="J258">
        <f t="shared" si="6"/>
        <v>7.75</v>
      </c>
      <c r="K258">
        <f t="shared" si="7"/>
        <v>-1.4941751382893085</v>
      </c>
      <c r="L258">
        <v>34143.71991</v>
      </c>
      <c r="M258">
        <v>0.85744414260000001</v>
      </c>
      <c r="Q258">
        <v>0.14255585740000001</v>
      </c>
      <c r="R258">
        <v>49530.293949999999</v>
      </c>
      <c r="S258">
        <v>80986.676019999999</v>
      </c>
      <c r="Z258">
        <v>97792.933959999995</v>
      </c>
      <c r="AB258">
        <v>81008.494789999997</v>
      </c>
      <c r="AC258">
        <v>111411.666</v>
      </c>
      <c r="AD258">
        <v>134158.16390000001</v>
      </c>
      <c r="AF258">
        <v>260392.85870000001</v>
      </c>
      <c r="AH258">
        <v>201898.36120000001</v>
      </c>
      <c r="AI258">
        <v>-7.7916301239999999E-2</v>
      </c>
      <c r="AJ258">
        <v>0.91573535390000005</v>
      </c>
      <c r="AK258">
        <v>-0.1709355166</v>
      </c>
      <c r="AL258">
        <v>0.8676365721</v>
      </c>
      <c r="AM258">
        <v>-0.16960001350000001</v>
      </c>
      <c r="AN258">
        <v>-3.328208941E-2</v>
      </c>
      <c r="AS258">
        <v>0</v>
      </c>
      <c r="AT258">
        <v>0</v>
      </c>
      <c r="BK258">
        <v>0</v>
      </c>
      <c r="BL258">
        <v>-2.1780811069999999E-2</v>
      </c>
      <c r="BM258">
        <v>-0.95202946170000002</v>
      </c>
      <c r="BN258">
        <v>3.263238492E-2</v>
      </c>
      <c r="BV258">
        <v>0</v>
      </c>
      <c r="BW258">
        <v>-0.10389645040000001</v>
      </c>
      <c r="BX258">
        <v>0.56422759749999996</v>
      </c>
      <c r="BY258">
        <v>0.68745316079999996</v>
      </c>
      <c r="BZ258">
        <v>0</v>
      </c>
      <c r="CA258">
        <v>-0.65361750590000001</v>
      </c>
      <c r="CB258">
        <v>0.47824672369999999</v>
      </c>
      <c r="CC258">
        <v>0.27219589830000002</v>
      </c>
      <c r="CD258">
        <v>0</v>
      </c>
      <c r="CE258">
        <v>-0.50330149020000003</v>
      </c>
      <c r="CF258">
        <v>-0.76533678780000003</v>
      </c>
      <c r="CG258">
        <v>0.38025178770000001</v>
      </c>
      <c r="CH258">
        <v>-0.35516033120000001</v>
      </c>
      <c r="CI258">
        <v>-0.46619193110000001</v>
      </c>
      <c r="CK258">
        <v>0.3034808524</v>
      </c>
      <c r="CT258">
        <v>-0.75128263360000003</v>
      </c>
      <c r="CU258">
        <v>0</v>
      </c>
      <c r="CV258">
        <v>-0.46638334910000001</v>
      </c>
      <c r="CW258">
        <v>-0.242496975</v>
      </c>
      <c r="CX258">
        <v>-0.39906915850000002</v>
      </c>
      <c r="DE258">
        <v>0.44526497450000002</v>
      </c>
      <c r="DF258">
        <v>0.51958985769999999</v>
      </c>
      <c r="DG258">
        <v>-0.12788975359999999</v>
      </c>
      <c r="DH258">
        <v>-0.71792045049999997</v>
      </c>
      <c r="DI258">
        <v>0</v>
      </c>
      <c r="DJ258">
        <v>-3.3451244220000002E-2</v>
      </c>
      <c r="DK258">
        <v>0.41802560049999998</v>
      </c>
      <c r="DL258">
        <v>0.55563102720000002</v>
      </c>
    </row>
    <row r="259" spans="1:116" x14ac:dyDescent="0.25">
      <c r="A259" t="s">
        <v>644</v>
      </c>
      <c r="B259" t="s">
        <v>645</v>
      </c>
      <c r="C259">
        <v>1000</v>
      </c>
      <c r="D259" t="s">
        <v>215</v>
      </c>
      <c r="E259">
        <v>12.5</v>
      </c>
      <c r="F259">
        <v>25</v>
      </c>
      <c r="G259">
        <v>12.5</v>
      </c>
      <c r="H259">
        <v>37.5</v>
      </c>
      <c r="I259">
        <v>12.5</v>
      </c>
      <c r="J259">
        <f t="shared" ref="J259:J322" si="8">((10*E259)/100)+((7*F259)/100)+((8*G259)/100)+((6*H259)/100)+((9*I259)/100)</f>
        <v>7.375</v>
      </c>
      <c r="K259">
        <f t="shared" ref="K259:K322" si="9">IF(ISBLANK(E259)=TRUE,0,(E259/100)*LN(E259/100))+IF(ISBLANK(F259)=TRUE,0,(F259/100)*LN(F259/100))+IF(ISBLANK(G259)=TRUE,0,(G259/100)*LN(G259/100))+IF(ISBLANK(H259)=TRUE,0,(H259/100)*LN(H259/100))+IF(ISBLANK(I259)=TRUE,0,(I259/100)*LN(I259/100))</f>
        <v>-1.4941751382893085</v>
      </c>
      <c r="L259">
        <v>32605.338940000001</v>
      </c>
      <c r="M259">
        <v>0.28997551459999998</v>
      </c>
      <c r="P259">
        <v>0.71002448539999996</v>
      </c>
      <c r="R259">
        <v>55621.71456</v>
      </c>
      <c r="S259">
        <v>58732.467069999999</v>
      </c>
      <c r="W259">
        <v>61492.865089999999</v>
      </c>
      <c r="X259">
        <v>101069.1882</v>
      </c>
      <c r="Z259">
        <v>78154.705830000006</v>
      </c>
      <c r="AA259">
        <v>112138.06630000001</v>
      </c>
      <c r="AF259">
        <v>300303.15769999998</v>
      </c>
      <c r="AG259">
        <v>369982.97210000001</v>
      </c>
      <c r="AI259">
        <v>0.42385241709999999</v>
      </c>
      <c r="AJ259">
        <v>0.7685801001</v>
      </c>
      <c r="AK259">
        <v>-0.30370862180000002</v>
      </c>
      <c r="AL259">
        <v>-0.39513780079999999</v>
      </c>
      <c r="AM259">
        <v>0.75886448250000005</v>
      </c>
      <c r="AN259">
        <v>-0.4704382795</v>
      </c>
      <c r="AS259">
        <v>0</v>
      </c>
      <c r="AT259">
        <v>0</v>
      </c>
      <c r="AZ259">
        <v>0</v>
      </c>
      <c r="BA259">
        <v>-0.85636556620000004</v>
      </c>
      <c r="BB259">
        <v>-8.9455604300000005E-2</v>
      </c>
      <c r="BC259">
        <v>0</v>
      </c>
      <c r="BD259">
        <v>0.40934250350000001</v>
      </c>
      <c r="BE259">
        <v>-0.11108618269999999</v>
      </c>
      <c r="BK259">
        <v>0</v>
      </c>
      <c r="BL259">
        <v>0.72328915370000002</v>
      </c>
      <c r="BM259">
        <v>0.40713213809999999</v>
      </c>
      <c r="BN259">
        <v>-0.1913761182</v>
      </c>
      <c r="BO259">
        <v>0.50687921130000002</v>
      </c>
      <c r="BP259">
        <v>0.71708364349999998</v>
      </c>
      <c r="BQ259">
        <v>0</v>
      </c>
      <c r="BR259">
        <v>0.2025390571</v>
      </c>
      <c r="BS259">
        <v>0.22676545249999999</v>
      </c>
      <c r="BT259">
        <v>-0.75426224480000004</v>
      </c>
      <c r="CH259">
        <v>-0.3706680879</v>
      </c>
      <c r="CI259">
        <v>0.21605240270000001</v>
      </c>
      <c r="CK259">
        <v>-0.52390018490000001</v>
      </c>
      <c r="CQ259">
        <v>4.13421951E-2</v>
      </c>
      <c r="CR259">
        <v>-0.55307289130000004</v>
      </c>
      <c r="CS259">
        <v>0.58193111799999997</v>
      </c>
      <c r="CT259">
        <v>0.73583633309999996</v>
      </c>
      <c r="CU259">
        <v>0</v>
      </c>
      <c r="CV259">
        <v>0.47799583499999998</v>
      </c>
      <c r="CW259">
        <v>0.28056600920000002</v>
      </c>
      <c r="CX259">
        <v>0.38903417200000001</v>
      </c>
      <c r="CZ259">
        <v>-0.59477505210000003</v>
      </c>
      <c r="DA259">
        <v>0</v>
      </c>
      <c r="DB259">
        <v>-0.43340793480000001</v>
      </c>
      <c r="DC259">
        <v>-0.21829831329999999</v>
      </c>
      <c r="DD259">
        <v>-0.64089472280000004</v>
      </c>
    </row>
    <row r="260" spans="1:116" x14ac:dyDescent="0.25">
      <c r="A260" t="s">
        <v>646</v>
      </c>
      <c r="B260" t="s">
        <v>647</v>
      </c>
      <c r="C260">
        <v>1000</v>
      </c>
      <c r="D260" t="s">
        <v>294</v>
      </c>
      <c r="F260">
        <v>37.5</v>
      </c>
      <c r="G260">
        <v>12.5</v>
      </c>
      <c r="H260">
        <v>37.5</v>
      </c>
      <c r="I260">
        <v>12.5</v>
      </c>
      <c r="J260">
        <f t="shared" si="8"/>
        <v>7</v>
      </c>
      <c r="K260">
        <f t="shared" si="9"/>
        <v>-1.2554823251787535</v>
      </c>
      <c r="L260">
        <v>31668.61868</v>
      </c>
      <c r="P260">
        <v>0.111075383</v>
      </c>
      <c r="Q260">
        <v>0.88892461700000003</v>
      </c>
      <c r="W260">
        <v>48200.759030000001</v>
      </c>
      <c r="X260">
        <v>83616.901870000002</v>
      </c>
      <c r="AA260">
        <v>290324.65460000001</v>
      </c>
      <c r="AB260">
        <v>48181.419049999997</v>
      </c>
      <c r="AC260">
        <v>101475.1842</v>
      </c>
      <c r="AD260">
        <v>137614.84770000001</v>
      </c>
      <c r="AZ260">
        <v>0</v>
      </c>
      <c r="BA260">
        <v>-0.90285004349999998</v>
      </c>
      <c r="BC260">
        <v>0</v>
      </c>
      <c r="BD260">
        <v>-0.26412936510000001</v>
      </c>
      <c r="BO260">
        <v>0.41877402609999997</v>
      </c>
      <c r="BP260">
        <v>-0.71899385449999997</v>
      </c>
      <c r="BQ260">
        <v>0</v>
      </c>
      <c r="BR260">
        <v>0.55468564470000004</v>
      </c>
      <c r="BS260">
        <v>0.33926019080000003</v>
      </c>
      <c r="BV260">
        <v>0</v>
      </c>
      <c r="BW260">
        <v>-0.92556628969999999</v>
      </c>
      <c r="BX260">
        <v>0.3715192739</v>
      </c>
      <c r="BZ260">
        <v>0</v>
      </c>
      <c r="CA260">
        <v>-0.73946821269999996</v>
      </c>
      <c r="CB260">
        <v>-0.3424127723</v>
      </c>
      <c r="CD260">
        <v>0</v>
      </c>
      <c r="CE260">
        <v>-0.56139165170000005</v>
      </c>
      <c r="CF260">
        <v>-0.1615024944</v>
      </c>
      <c r="CQ260">
        <v>9.7417215860000003E-2</v>
      </c>
      <c r="CR260">
        <v>0.64287130569999995</v>
      </c>
      <c r="CS260">
        <v>0.75975414350000003</v>
      </c>
      <c r="DE260">
        <v>-7.2804343470000005E-2</v>
      </c>
      <c r="DF260">
        <v>0.57960353320000002</v>
      </c>
      <c r="DG260">
        <v>-0.81163807060000004</v>
      </c>
    </row>
    <row r="261" spans="1:116" x14ac:dyDescent="0.25">
      <c r="A261" t="s">
        <v>648</v>
      </c>
      <c r="B261" t="s">
        <v>649</v>
      </c>
      <c r="C261">
        <v>1000</v>
      </c>
      <c r="D261" t="s">
        <v>301</v>
      </c>
      <c r="E261">
        <v>25</v>
      </c>
      <c r="G261">
        <v>25</v>
      </c>
      <c r="H261">
        <v>37.5</v>
      </c>
      <c r="I261">
        <v>12.5</v>
      </c>
      <c r="J261">
        <f t="shared" si="8"/>
        <v>7.875</v>
      </c>
      <c r="K261">
        <f t="shared" si="9"/>
        <v>-1.3208883431493221</v>
      </c>
      <c r="L261">
        <v>37767.154090000004</v>
      </c>
      <c r="M261">
        <v>0.85405734099999997</v>
      </c>
      <c r="Q261">
        <v>0.145942659</v>
      </c>
      <c r="R261">
        <v>37570.670259999999</v>
      </c>
      <c r="S261">
        <v>63791.903610000001</v>
      </c>
      <c r="Z261">
        <v>248700.4895</v>
      </c>
      <c r="AB261">
        <v>56560.030359999997</v>
      </c>
      <c r="AC261">
        <v>67950.799880000006</v>
      </c>
      <c r="AD261">
        <v>142880.323</v>
      </c>
      <c r="AJ261">
        <v>0.67020825699999997</v>
      </c>
      <c r="AK261">
        <v>-0.74186536660000002</v>
      </c>
      <c r="AL261">
        <v>-0.53642894240000005</v>
      </c>
      <c r="AN261">
        <v>-0.57405745060000002</v>
      </c>
      <c r="AS261">
        <v>0</v>
      </c>
      <c r="AT261">
        <v>0</v>
      </c>
      <c r="BK261">
        <v>0</v>
      </c>
      <c r="BL261">
        <v>-0.40234285330000003</v>
      </c>
      <c r="BN261">
        <v>-0.4704029495</v>
      </c>
      <c r="BV261">
        <v>0</v>
      </c>
      <c r="BX261">
        <v>-0.98141773750000005</v>
      </c>
      <c r="BY261">
        <v>0.1617683825</v>
      </c>
      <c r="BZ261">
        <v>0</v>
      </c>
      <c r="CA261">
        <v>0.17770616559999999</v>
      </c>
      <c r="CC261">
        <v>0.96914802529999999</v>
      </c>
      <c r="CD261">
        <v>0</v>
      </c>
      <c r="CE261">
        <v>7.238592596E-2</v>
      </c>
      <c r="CG261">
        <v>-0.1859653453</v>
      </c>
      <c r="CH261">
        <v>-2.1369841899999999E-2</v>
      </c>
      <c r="CI261">
        <v>0.61862915640000005</v>
      </c>
      <c r="CK261">
        <v>-0.78539244559999999</v>
      </c>
      <c r="DE261">
        <v>0.10319987899999999</v>
      </c>
      <c r="DF261">
        <v>0.17079995249999999</v>
      </c>
      <c r="DG261">
        <v>0.97988630369999996</v>
      </c>
    </row>
    <row r="262" spans="1:116" x14ac:dyDescent="0.25">
      <c r="A262" t="s">
        <v>650</v>
      </c>
      <c r="B262" t="s">
        <v>651</v>
      </c>
      <c r="C262">
        <v>1000</v>
      </c>
      <c r="D262" t="s">
        <v>301</v>
      </c>
      <c r="E262">
        <v>12.5</v>
      </c>
      <c r="F262">
        <v>12.5</v>
      </c>
      <c r="G262">
        <v>25</v>
      </c>
      <c r="H262">
        <v>37.5</v>
      </c>
      <c r="I262">
        <v>12.5</v>
      </c>
      <c r="J262">
        <f t="shared" si="8"/>
        <v>7.5</v>
      </c>
      <c r="K262">
        <f t="shared" si="9"/>
        <v>-1.4941751382893085</v>
      </c>
      <c r="L262">
        <v>35729.814330000001</v>
      </c>
      <c r="M262">
        <v>0.57853210229999996</v>
      </c>
      <c r="Q262">
        <v>0.42146789769999998</v>
      </c>
      <c r="R262">
        <v>44276.136740000002</v>
      </c>
      <c r="S262">
        <v>64714.532299999999</v>
      </c>
      <c r="Z262">
        <v>99240.755799999999</v>
      </c>
      <c r="AB262">
        <v>54113.07488</v>
      </c>
      <c r="AC262">
        <v>118295.15489999999</v>
      </c>
      <c r="AD262">
        <v>125591.223</v>
      </c>
      <c r="AF262">
        <v>282981.02990000002</v>
      </c>
      <c r="AH262">
        <v>184013.25159999999</v>
      </c>
      <c r="AI262">
        <v>-0.22796087949999999</v>
      </c>
      <c r="AJ262">
        <v>-0.39007576459999999</v>
      </c>
      <c r="AK262">
        <v>0.87403823660000002</v>
      </c>
      <c r="AL262">
        <v>-0.20953490159999999</v>
      </c>
      <c r="AM262">
        <v>6.7947279720000003E-2</v>
      </c>
      <c r="AN262">
        <v>-0.7784675351</v>
      </c>
      <c r="AS262">
        <v>0</v>
      </c>
      <c r="AT262">
        <v>0</v>
      </c>
      <c r="BK262">
        <v>0</v>
      </c>
      <c r="BL262">
        <v>7.1753307089999996E-2</v>
      </c>
      <c r="BM262">
        <v>0.908760915</v>
      </c>
      <c r="BN262">
        <v>-0.20781014950000001</v>
      </c>
      <c r="BV262">
        <v>0</v>
      </c>
      <c r="BW262">
        <v>0.22488099950000001</v>
      </c>
      <c r="BX262">
        <v>-0.96646593169999995</v>
      </c>
      <c r="BY262">
        <v>-7.5818596050000006E-2</v>
      </c>
      <c r="BZ262">
        <v>0</v>
      </c>
      <c r="CA262">
        <v>0.16452809130000001</v>
      </c>
      <c r="CB262">
        <v>0.44299499720000002</v>
      </c>
      <c r="CC262">
        <v>0.2924193846</v>
      </c>
      <c r="CD262">
        <v>0</v>
      </c>
      <c r="CE262">
        <v>0.1900165305</v>
      </c>
      <c r="CF262">
        <v>0.83013872700000002</v>
      </c>
      <c r="CG262">
        <v>-0.3993218778</v>
      </c>
      <c r="CH262">
        <v>-0.178694981</v>
      </c>
      <c r="CI262">
        <v>0.58776405899999995</v>
      </c>
      <c r="CK262">
        <v>-0.3547111557</v>
      </c>
      <c r="CT262">
        <v>-0.70482729180000003</v>
      </c>
      <c r="CU262">
        <v>0</v>
      </c>
      <c r="CV262">
        <v>-0.43243930559999999</v>
      </c>
      <c r="CW262">
        <v>-0.34288569790000001</v>
      </c>
      <c r="CX262">
        <v>-0.44569511319999999</v>
      </c>
      <c r="DE262">
        <v>9.8100354279999996E-2</v>
      </c>
      <c r="DF262">
        <v>0.83137046079999999</v>
      </c>
      <c r="DG262">
        <v>-0.33956656190000001</v>
      </c>
      <c r="DH262">
        <v>0.42887373480000002</v>
      </c>
      <c r="DI262">
        <v>0</v>
      </c>
      <c r="DJ262">
        <v>5.257182614E-2</v>
      </c>
      <c r="DK262">
        <v>-0.25299567589999999</v>
      </c>
      <c r="DL262">
        <v>-0.86561926430000002</v>
      </c>
    </row>
    <row r="263" spans="1:116" x14ac:dyDescent="0.25">
      <c r="A263" t="s">
        <v>652</v>
      </c>
      <c r="B263" t="s">
        <v>653</v>
      </c>
      <c r="C263">
        <v>1000</v>
      </c>
      <c r="D263" t="s">
        <v>334</v>
      </c>
      <c r="F263">
        <v>25</v>
      </c>
      <c r="G263">
        <v>25</v>
      </c>
      <c r="H263">
        <v>37.5</v>
      </c>
      <c r="I263">
        <v>12.5</v>
      </c>
      <c r="J263">
        <f t="shared" si="8"/>
        <v>7.125</v>
      </c>
      <c r="K263">
        <f t="shared" si="9"/>
        <v>-1.3208883431493221</v>
      </c>
      <c r="L263">
        <v>34174.03645</v>
      </c>
      <c r="Q263">
        <v>1</v>
      </c>
      <c r="AB263">
        <v>42167.648560000001</v>
      </c>
      <c r="AC263">
        <v>88252.040970000002</v>
      </c>
      <c r="AD263">
        <v>130213.5583</v>
      </c>
      <c r="BV263">
        <v>0</v>
      </c>
      <c r="BW263">
        <v>-0.57706235130000005</v>
      </c>
      <c r="BX263">
        <v>0.80067813880000005</v>
      </c>
      <c r="BZ263">
        <v>0</v>
      </c>
      <c r="CA263">
        <v>0.50214754809999995</v>
      </c>
      <c r="CB263">
        <v>0.79297639139999998</v>
      </c>
      <c r="CD263">
        <v>0</v>
      </c>
      <c r="CE263">
        <v>0.3267470005</v>
      </c>
      <c r="CF263">
        <v>0.19541254790000001</v>
      </c>
      <c r="DE263">
        <v>-0.1609768949</v>
      </c>
      <c r="DF263">
        <v>-0.34501635110000001</v>
      </c>
      <c r="DG263">
        <v>0.92468931740000004</v>
      </c>
    </row>
    <row r="264" spans="1:116" x14ac:dyDescent="0.25">
      <c r="A264" t="s">
        <v>654</v>
      </c>
      <c r="B264" t="s">
        <v>655</v>
      </c>
      <c r="C264">
        <v>1000</v>
      </c>
      <c r="D264" t="s">
        <v>362</v>
      </c>
      <c r="E264">
        <v>12.5</v>
      </c>
      <c r="G264">
        <v>37.5</v>
      </c>
      <c r="H264">
        <v>37.5</v>
      </c>
      <c r="I264">
        <v>12.5</v>
      </c>
      <c r="J264">
        <f t="shared" si="8"/>
        <v>7.625</v>
      </c>
      <c r="K264">
        <f t="shared" si="9"/>
        <v>-1.2554823251787535</v>
      </c>
      <c r="L264">
        <v>38959.050139999999</v>
      </c>
      <c r="M264">
        <v>0.45038281130000002</v>
      </c>
      <c r="Q264">
        <v>0.54961718869999998</v>
      </c>
      <c r="R264">
        <v>34271.928399999997</v>
      </c>
      <c r="S264">
        <v>68666.134229999996</v>
      </c>
      <c r="Z264">
        <v>265624.80530000001</v>
      </c>
      <c r="AB264">
        <v>41966.499230000001</v>
      </c>
      <c r="AC264">
        <v>117623.06690000001</v>
      </c>
      <c r="AD264">
        <v>132328.0722</v>
      </c>
      <c r="AJ264">
        <v>0.46436273509999998</v>
      </c>
      <c r="AK264">
        <v>-0.87039872380000005</v>
      </c>
      <c r="AL264">
        <v>0.25018427380000002</v>
      </c>
      <c r="AN264">
        <v>0.70338255569999997</v>
      </c>
      <c r="AS264">
        <v>0</v>
      </c>
      <c r="AT264">
        <v>0</v>
      </c>
      <c r="BK264">
        <v>0</v>
      </c>
      <c r="BL264">
        <v>-0.42404468210000001</v>
      </c>
      <c r="BN264">
        <v>-0.53816375930000004</v>
      </c>
      <c r="BV264">
        <v>0</v>
      </c>
      <c r="BX264">
        <v>-0.98257445310000002</v>
      </c>
      <c r="BY264">
        <v>0.11098865619999999</v>
      </c>
      <c r="BZ264">
        <v>0</v>
      </c>
      <c r="CA264">
        <v>-0.1015925558</v>
      </c>
      <c r="CC264">
        <v>-0.99241220100000005</v>
      </c>
      <c r="CD264">
        <v>0</v>
      </c>
      <c r="CE264">
        <v>0.15565034019999999</v>
      </c>
      <c r="CG264">
        <v>5.2905357780000002E-2</v>
      </c>
      <c r="CH264">
        <v>0.16362552329999999</v>
      </c>
      <c r="CI264">
        <v>-0.66532759559999999</v>
      </c>
      <c r="CK264">
        <v>-0.72839953030000004</v>
      </c>
      <c r="DE264">
        <v>0.1490938037</v>
      </c>
      <c r="DF264">
        <v>6.926020393E-2</v>
      </c>
      <c r="DG264">
        <v>0.98639444180000002</v>
      </c>
    </row>
    <row r="265" spans="1:116" x14ac:dyDescent="0.25">
      <c r="A265" t="s">
        <v>656</v>
      </c>
      <c r="B265" t="s">
        <v>657</v>
      </c>
      <c r="C265">
        <v>1000</v>
      </c>
      <c r="D265" t="s">
        <v>334</v>
      </c>
      <c r="F265">
        <v>12.5</v>
      </c>
      <c r="G265">
        <v>37.5</v>
      </c>
      <c r="H265">
        <v>37.5</v>
      </c>
      <c r="I265">
        <v>12.5</v>
      </c>
      <c r="J265">
        <f t="shared" si="8"/>
        <v>7.25</v>
      </c>
      <c r="K265">
        <f t="shared" si="9"/>
        <v>-1.2554823251787535</v>
      </c>
      <c r="L265">
        <v>36803.409520000001</v>
      </c>
      <c r="Q265">
        <v>1</v>
      </c>
      <c r="AB265">
        <v>36636.264289999999</v>
      </c>
      <c r="AC265">
        <v>115716.14780000001</v>
      </c>
      <c r="AD265">
        <v>137576.87390000001</v>
      </c>
      <c r="BV265">
        <v>0</v>
      </c>
      <c r="BW265">
        <v>-0.2894065555</v>
      </c>
      <c r="BX265">
        <v>0.94000861049999995</v>
      </c>
      <c r="BZ265">
        <v>0</v>
      </c>
      <c r="CA265">
        <v>4.6413518950000003E-2</v>
      </c>
      <c r="CB265">
        <v>0.63304535480000002</v>
      </c>
      <c r="CD265">
        <v>0</v>
      </c>
      <c r="CE265">
        <v>-0.33797830350000002</v>
      </c>
      <c r="CF265">
        <v>-0.71798217360000005</v>
      </c>
      <c r="DE265">
        <v>-0.18063127600000001</v>
      </c>
      <c r="DF265">
        <v>-0.77272204840000003</v>
      </c>
      <c r="DG265">
        <v>-0.60850001210000004</v>
      </c>
    </row>
    <row r="266" spans="1:116" x14ac:dyDescent="0.25">
      <c r="A266" t="s">
        <v>658</v>
      </c>
      <c r="B266" t="s">
        <v>659</v>
      </c>
      <c r="C266">
        <v>1000</v>
      </c>
      <c r="D266" t="s">
        <v>334</v>
      </c>
      <c r="G266">
        <v>50</v>
      </c>
      <c r="H266">
        <v>37.5</v>
      </c>
      <c r="I266">
        <v>12.5</v>
      </c>
      <c r="J266">
        <f t="shared" si="8"/>
        <v>7.375</v>
      </c>
      <c r="K266">
        <f t="shared" si="9"/>
        <v>-0.97431475286934943</v>
      </c>
      <c r="L266">
        <v>39337.091030000003</v>
      </c>
      <c r="Q266">
        <v>1</v>
      </c>
      <c r="AB266">
        <v>36321.161160000003</v>
      </c>
      <c r="AC266">
        <v>118670.84970000001</v>
      </c>
      <c r="BV266">
        <v>0</v>
      </c>
      <c r="BX266">
        <v>-0.98369886740000001</v>
      </c>
      <c r="BZ266">
        <v>0</v>
      </c>
      <c r="CA266">
        <v>-0.1798220807</v>
      </c>
      <c r="DE266">
        <v>0.17982363100000001</v>
      </c>
      <c r="DF266">
        <v>-0.98369915080000003</v>
      </c>
    </row>
    <row r="267" spans="1:116" x14ac:dyDescent="0.25">
      <c r="A267" t="s">
        <v>660</v>
      </c>
      <c r="B267" t="s">
        <v>661</v>
      </c>
      <c r="C267">
        <v>1000</v>
      </c>
      <c r="D267" t="s">
        <v>301</v>
      </c>
      <c r="E267">
        <v>37.5</v>
      </c>
      <c r="H267">
        <v>50</v>
      </c>
      <c r="I267">
        <v>12.5</v>
      </c>
      <c r="J267">
        <f t="shared" si="8"/>
        <v>7.875</v>
      </c>
      <c r="K267">
        <f t="shared" si="9"/>
        <v>-0.97431475286934943</v>
      </c>
      <c r="L267">
        <v>34833.963219999998</v>
      </c>
      <c r="M267">
        <v>0.92291935199999997</v>
      </c>
      <c r="Q267">
        <v>7.708064798E-2</v>
      </c>
      <c r="R267">
        <v>49521.924610000002</v>
      </c>
      <c r="S267">
        <v>192191.88930000001</v>
      </c>
      <c r="AB267">
        <v>51487.497199999998</v>
      </c>
      <c r="AC267">
        <v>239063.9964</v>
      </c>
      <c r="AJ267">
        <v>0.91467467150000004</v>
      </c>
      <c r="AN267">
        <v>0.4041908555</v>
      </c>
      <c r="AS267">
        <v>0</v>
      </c>
      <c r="AT267">
        <v>0</v>
      </c>
      <c r="BV267">
        <v>0</v>
      </c>
      <c r="BY267">
        <v>0.91669160449999998</v>
      </c>
      <c r="BZ267">
        <v>0</v>
      </c>
      <c r="CC267">
        <v>-0.39959547919999999</v>
      </c>
      <c r="CH267">
        <v>-0.40419085259999998</v>
      </c>
      <c r="CI267">
        <v>0.91467467020000004</v>
      </c>
      <c r="DE267">
        <v>0.39959542320000002</v>
      </c>
      <c r="DF267">
        <v>0.91669158009999996</v>
      </c>
    </row>
    <row r="268" spans="1:116" x14ac:dyDescent="0.25">
      <c r="A268" t="s">
        <v>662</v>
      </c>
      <c r="B268" t="s">
        <v>663</v>
      </c>
      <c r="C268">
        <v>1000</v>
      </c>
      <c r="D268" t="s">
        <v>301</v>
      </c>
      <c r="E268">
        <v>25</v>
      </c>
      <c r="F268">
        <v>12.5</v>
      </c>
      <c r="H268">
        <v>50</v>
      </c>
      <c r="I268">
        <v>12.5</v>
      </c>
      <c r="J268">
        <f t="shared" si="8"/>
        <v>7.5</v>
      </c>
      <c r="K268">
        <f t="shared" si="9"/>
        <v>-1.2130075659799042</v>
      </c>
      <c r="L268">
        <v>32013.261760000001</v>
      </c>
      <c r="M268">
        <v>0.71539039540000005</v>
      </c>
      <c r="Q268">
        <v>0.28460960460000001</v>
      </c>
      <c r="R268">
        <v>46029.379970000002</v>
      </c>
      <c r="S268">
        <v>89913.505799999999</v>
      </c>
      <c r="Z268">
        <v>195847.2678</v>
      </c>
      <c r="AB268">
        <v>105951.3826</v>
      </c>
      <c r="AC268">
        <v>126904.71189999999</v>
      </c>
      <c r="AD268">
        <v>262078.34409999999</v>
      </c>
      <c r="AI268">
        <v>0.17799557099999999</v>
      </c>
      <c r="AJ268">
        <v>-0.89940322589999999</v>
      </c>
      <c r="AM268">
        <v>0.96446687499999995</v>
      </c>
      <c r="AN268">
        <v>7.895276557E-2</v>
      </c>
      <c r="AS268">
        <v>0</v>
      </c>
      <c r="AT268">
        <v>0</v>
      </c>
      <c r="BK268">
        <v>0</v>
      </c>
      <c r="BM268">
        <v>-0.19524656730000001</v>
      </c>
      <c r="BN268">
        <v>-0.42993057759999997</v>
      </c>
      <c r="BV268">
        <v>0</v>
      </c>
      <c r="BW268">
        <v>0.49058339579999999</v>
      </c>
      <c r="BY268">
        <v>0.4941257268</v>
      </c>
      <c r="BZ268">
        <v>0</v>
      </c>
      <c r="CB268">
        <v>0.82751884539999998</v>
      </c>
      <c r="CC268">
        <v>-0.52225254529999998</v>
      </c>
      <c r="CD268">
        <v>0</v>
      </c>
      <c r="CF268">
        <v>0.2730233963</v>
      </c>
      <c r="CG268">
        <v>0.69504786910000005</v>
      </c>
      <c r="CH268">
        <v>0.39923854260000002</v>
      </c>
      <c r="CI268">
        <v>-0.25213113240000001</v>
      </c>
      <c r="CK268">
        <v>-0.88149785960000004</v>
      </c>
      <c r="DE268">
        <v>0.71775183580000002</v>
      </c>
      <c r="DF268">
        <v>-0.20606998679999999</v>
      </c>
      <c r="DG268">
        <v>-0.66510652140000004</v>
      </c>
    </row>
    <row r="269" spans="1:116" x14ac:dyDescent="0.25">
      <c r="A269" t="s">
        <v>664</v>
      </c>
      <c r="B269" t="s">
        <v>665</v>
      </c>
      <c r="C269">
        <v>1000</v>
      </c>
      <c r="D269" t="s">
        <v>294</v>
      </c>
      <c r="E269">
        <v>12.5</v>
      </c>
      <c r="F269">
        <v>25</v>
      </c>
      <c r="H269">
        <v>50</v>
      </c>
      <c r="I269">
        <v>12.5</v>
      </c>
      <c r="J269">
        <f t="shared" si="8"/>
        <v>7.125</v>
      </c>
      <c r="K269">
        <f t="shared" si="9"/>
        <v>-1.2130075659799042</v>
      </c>
      <c r="L269">
        <v>30592.084279999999</v>
      </c>
      <c r="P269">
        <v>0.94001782320000005</v>
      </c>
      <c r="Q269">
        <v>5.9982176810000003E-2</v>
      </c>
      <c r="W269">
        <v>74089.643370000005</v>
      </c>
      <c r="X269">
        <v>88961.796860000002</v>
      </c>
      <c r="AA269">
        <v>343610.0724</v>
      </c>
      <c r="AB269">
        <v>70030.754360000006</v>
      </c>
      <c r="AC269">
        <v>164560.62040000001</v>
      </c>
      <c r="AD269">
        <v>427562.56109999999</v>
      </c>
      <c r="AZ269">
        <v>0</v>
      </c>
      <c r="BA269">
        <v>0.97675779299999999</v>
      </c>
      <c r="BB269">
        <v>-7.8668079069999994E-2</v>
      </c>
      <c r="BC269">
        <v>0</v>
      </c>
      <c r="BD269">
        <v>-7.1920462310000002E-2</v>
      </c>
      <c r="BE269">
        <v>0.75600515639999999</v>
      </c>
      <c r="BQ269">
        <v>0</v>
      </c>
      <c r="BS269">
        <v>-0.2019199673</v>
      </c>
      <c r="BT269">
        <v>-0.64982120119999998</v>
      </c>
      <c r="BV269">
        <v>0</v>
      </c>
      <c r="BW269">
        <v>-0.9609997133</v>
      </c>
      <c r="BY269">
        <v>-3.1472922690000002E-2</v>
      </c>
      <c r="BZ269">
        <v>0</v>
      </c>
      <c r="CB269">
        <v>0.27269366010000001</v>
      </c>
      <c r="CC269">
        <v>-0.273179426</v>
      </c>
      <c r="CD269">
        <v>0</v>
      </c>
      <c r="CF269">
        <v>-4.6022792319999999E-2</v>
      </c>
      <c r="CG269">
        <v>-0.96144810999999997</v>
      </c>
      <c r="CQ269">
        <v>-0.1993879315</v>
      </c>
      <c r="CR269">
        <v>-0.65060252890000003</v>
      </c>
      <c r="CS269">
        <v>-0.7327760458</v>
      </c>
      <c r="DE269">
        <v>-0.27475262719999999</v>
      </c>
      <c r="DF269">
        <v>-0.92250266609999998</v>
      </c>
      <c r="DG269">
        <v>0.27110779099999999</v>
      </c>
    </row>
    <row r="270" spans="1:116" x14ac:dyDescent="0.25">
      <c r="A270" t="s">
        <v>666</v>
      </c>
      <c r="B270" t="s">
        <v>667</v>
      </c>
      <c r="C270">
        <v>1000</v>
      </c>
      <c r="D270" t="s">
        <v>334</v>
      </c>
      <c r="F270">
        <v>37.5</v>
      </c>
      <c r="H270">
        <v>50</v>
      </c>
      <c r="I270">
        <v>12.5</v>
      </c>
      <c r="J270">
        <f t="shared" si="8"/>
        <v>6.75</v>
      </c>
      <c r="K270">
        <f t="shared" si="9"/>
        <v>-0.97431475286934943</v>
      </c>
      <c r="L270">
        <v>28508.69786</v>
      </c>
      <c r="Q270">
        <v>1</v>
      </c>
      <c r="AB270">
        <v>50230.400829999999</v>
      </c>
      <c r="AC270">
        <v>110381.9556</v>
      </c>
      <c r="BV270">
        <v>0</v>
      </c>
      <c r="BW270">
        <v>-0.98323866630000001</v>
      </c>
      <c r="BZ270">
        <v>0</v>
      </c>
      <c r="CB270">
        <v>0.18231324090000001</v>
      </c>
      <c r="DE270">
        <v>-0.18232313389999999</v>
      </c>
      <c r="DF270">
        <v>-0.98324050070000002</v>
      </c>
    </row>
    <row r="271" spans="1:116" x14ac:dyDescent="0.25">
      <c r="A271" t="s">
        <v>668</v>
      </c>
      <c r="B271" t="s">
        <v>669</v>
      </c>
      <c r="C271">
        <v>1000</v>
      </c>
      <c r="D271" t="s">
        <v>301</v>
      </c>
      <c r="E271">
        <v>25</v>
      </c>
      <c r="G271">
        <v>12.5</v>
      </c>
      <c r="H271">
        <v>50</v>
      </c>
      <c r="I271">
        <v>12.5</v>
      </c>
      <c r="J271">
        <f t="shared" si="8"/>
        <v>7.625</v>
      </c>
      <c r="K271">
        <f t="shared" si="9"/>
        <v>-1.2130075659799042</v>
      </c>
      <c r="L271">
        <v>37004.922980000003</v>
      </c>
      <c r="M271">
        <v>0.62956863299999999</v>
      </c>
      <c r="Q271">
        <v>0.37043136700000001</v>
      </c>
      <c r="R271">
        <v>47458.79464</v>
      </c>
      <c r="S271">
        <v>81738.124160000007</v>
      </c>
      <c r="Z271">
        <v>228942.71520000001</v>
      </c>
      <c r="AB271">
        <v>44924.271410000001</v>
      </c>
      <c r="AC271">
        <v>98290.47696</v>
      </c>
      <c r="AD271">
        <v>143300.3621</v>
      </c>
      <c r="AJ271">
        <v>0.89463517010000004</v>
      </c>
      <c r="AK271">
        <v>-0.28368223910000001</v>
      </c>
      <c r="AL271">
        <v>-0.84165383949999995</v>
      </c>
      <c r="AN271">
        <v>-5.9804544899999999E-2</v>
      </c>
      <c r="AS271">
        <v>0</v>
      </c>
      <c r="AT271">
        <v>0</v>
      </c>
      <c r="BK271">
        <v>0</v>
      </c>
      <c r="BL271">
        <v>-0.4595032161</v>
      </c>
      <c r="BN271">
        <v>-0.4427768399</v>
      </c>
      <c r="BV271">
        <v>0</v>
      </c>
      <c r="BX271">
        <v>8.0264504580000007E-2</v>
      </c>
      <c r="BY271">
        <v>0.94836250239999997</v>
      </c>
      <c r="BZ271">
        <v>0</v>
      </c>
      <c r="CA271">
        <v>-0.99601946249999995</v>
      </c>
      <c r="CC271">
        <v>6.4335324520000001E-2</v>
      </c>
      <c r="CD271">
        <v>0</v>
      </c>
      <c r="CE271">
        <v>-3.8766304449999997E-2</v>
      </c>
      <c r="CG271">
        <v>0.31059550549999998</v>
      </c>
      <c r="CH271">
        <v>-0.34518444300000001</v>
      </c>
      <c r="CI271">
        <v>0.53669565949999998</v>
      </c>
      <c r="CK271">
        <v>-0.76993861080000003</v>
      </c>
      <c r="DE271">
        <v>0.30686507349999997</v>
      </c>
      <c r="DF271">
        <v>6.1694377799999998E-2</v>
      </c>
      <c r="DG271">
        <v>-0.94975133879999996</v>
      </c>
    </row>
    <row r="272" spans="1:116" x14ac:dyDescent="0.25">
      <c r="A272" t="s">
        <v>670</v>
      </c>
      <c r="B272" t="s">
        <v>671</v>
      </c>
      <c r="C272">
        <v>1000</v>
      </c>
      <c r="D272" t="s">
        <v>672</v>
      </c>
      <c r="E272">
        <v>12.5</v>
      </c>
      <c r="F272">
        <v>12.5</v>
      </c>
      <c r="G272">
        <v>12.5</v>
      </c>
      <c r="H272">
        <v>50</v>
      </c>
      <c r="I272">
        <v>12.5</v>
      </c>
      <c r="J272">
        <f t="shared" si="8"/>
        <v>7.25</v>
      </c>
      <c r="K272">
        <f t="shared" si="9"/>
        <v>-1.3862943611198906</v>
      </c>
      <c r="L272">
        <v>34042.3315</v>
      </c>
      <c r="M272">
        <v>0.35144160320000001</v>
      </c>
      <c r="P272">
        <v>0.13325479470000001</v>
      </c>
      <c r="Q272">
        <v>0.51530360210000004</v>
      </c>
      <c r="R272">
        <v>52390.703889999997</v>
      </c>
      <c r="S272">
        <v>74306.731190000006</v>
      </c>
      <c r="W272">
        <v>77768.316590000002</v>
      </c>
      <c r="X272">
        <v>99880.455010000005</v>
      </c>
      <c r="Z272">
        <v>90703.142449999999</v>
      </c>
      <c r="AA272">
        <v>119030.9437</v>
      </c>
      <c r="AB272">
        <v>85669.096739999994</v>
      </c>
      <c r="AC272">
        <v>95031.771519999995</v>
      </c>
      <c r="AD272">
        <v>125039.3371</v>
      </c>
      <c r="AF272">
        <v>255120.56830000001</v>
      </c>
      <c r="AG272">
        <v>319221.96059999999</v>
      </c>
      <c r="AH272">
        <v>187529.36730000001</v>
      </c>
      <c r="AI272">
        <v>-6.9033395129999994E-2</v>
      </c>
      <c r="AJ272">
        <v>0.89918919429999999</v>
      </c>
      <c r="AK272">
        <v>-0.13723187249999999</v>
      </c>
      <c r="AL272">
        <v>0.85947776149999999</v>
      </c>
      <c r="AM272">
        <v>-0.26137371370000001</v>
      </c>
      <c r="AN272">
        <v>-8.5251812329999996E-2</v>
      </c>
      <c r="AS272">
        <v>0</v>
      </c>
      <c r="AT272">
        <v>0</v>
      </c>
      <c r="AZ272">
        <v>0</v>
      </c>
      <c r="BA272">
        <v>-0.61154131339999995</v>
      </c>
      <c r="BB272">
        <v>-0.26061623950000001</v>
      </c>
      <c r="BC272">
        <v>0</v>
      </c>
      <c r="BD272">
        <v>0.14671346499999999</v>
      </c>
      <c r="BE272">
        <v>0.5106693377</v>
      </c>
      <c r="BK272">
        <v>0</v>
      </c>
      <c r="BL272">
        <v>8.8135107630000001E-2</v>
      </c>
      <c r="BM272">
        <v>0.92224607609999998</v>
      </c>
      <c r="BN272">
        <v>-8.3034613950000002E-2</v>
      </c>
      <c r="BO272">
        <v>0.74491619119999997</v>
      </c>
      <c r="BP272">
        <v>0.23738749819999999</v>
      </c>
      <c r="BQ272">
        <v>0</v>
      </c>
      <c r="BR272">
        <v>0.42419188489999998</v>
      </c>
      <c r="BS272">
        <v>0.74214236330000005</v>
      </c>
      <c r="BT272">
        <v>-0.5147723528</v>
      </c>
      <c r="BV272">
        <v>0</v>
      </c>
      <c r="BW272">
        <v>-0.1999631529</v>
      </c>
      <c r="BX272">
        <v>0.70920152930000002</v>
      </c>
      <c r="BY272">
        <v>0.51358634219999999</v>
      </c>
      <c r="BZ272">
        <v>0</v>
      </c>
      <c r="CA272">
        <v>-0.41314540399999999</v>
      </c>
      <c r="CB272">
        <v>0.57721142719999996</v>
      </c>
      <c r="CC272">
        <v>0.2234352808</v>
      </c>
      <c r="CD272">
        <v>0</v>
      </c>
      <c r="CE272">
        <v>-0.5648924931</v>
      </c>
      <c r="CF272">
        <v>-0.72210617060000004</v>
      </c>
      <c r="CG272">
        <v>0.36970134640000002</v>
      </c>
      <c r="CH272">
        <v>-0.40970794020000001</v>
      </c>
      <c r="CI272">
        <v>-0.43094534210000002</v>
      </c>
      <c r="CK272">
        <v>-0.36715069230000003</v>
      </c>
      <c r="CQ272">
        <v>-5.6535527340000002E-2</v>
      </c>
      <c r="CR272">
        <v>-0.81322762029999995</v>
      </c>
      <c r="CS272">
        <v>-6.553916454E-2</v>
      </c>
      <c r="CT272">
        <v>0.71528028399999999</v>
      </c>
      <c r="CU272">
        <v>0</v>
      </c>
      <c r="CV272">
        <v>0.4844559832</v>
      </c>
      <c r="CW272">
        <v>0.27636993110000002</v>
      </c>
      <c r="CX272">
        <v>0.42106552549999998</v>
      </c>
      <c r="CZ272">
        <v>-0.57547297770000005</v>
      </c>
      <c r="DA272">
        <v>0</v>
      </c>
      <c r="DB272">
        <v>-0.45695544560000001</v>
      </c>
      <c r="DC272">
        <v>-0.2317694407</v>
      </c>
      <c r="DD272">
        <v>-0.63742097480000004</v>
      </c>
      <c r="DE272">
        <v>0.43963279849999998</v>
      </c>
      <c r="DF272">
        <v>0.66799290320000004</v>
      </c>
      <c r="DG272">
        <v>0.1509306597</v>
      </c>
      <c r="DH272">
        <v>-0.58114429000000001</v>
      </c>
      <c r="DI272">
        <v>0</v>
      </c>
      <c r="DJ272">
        <v>-8.5090589610000003E-2</v>
      </c>
      <c r="DK272">
        <v>0.32466030169999999</v>
      </c>
      <c r="DL272">
        <v>0.74136805589999999</v>
      </c>
    </row>
    <row r="273" spans="1:111" x14ac:dyDescent="0.25">
      <c r="A273" t="s">
        <v>673</v>
      </c>
      <c r="B273" t="s">
        <v>674</v>
      </c>
      <c r="C273">
        <v>1000</v>
      </c>
      <c r="D273" t="s">
        <v>334</v>
      </c>
      <c r="F273">
        <v>25</v>
      </c>
      <c r="G273">
        <v>12.5</v>
      </c>
      <c r="H273">
        <v>50</v>
      </c>
      <c r="I273">
        <v>12.5</v>
      </c>
      <c r="J273">
        <f t="shared" si="8"/>
        <v>6.875</v>
      </c>
      <c r="K273">
        <f t="shared" si="9"/>
        <v>-1.2130075659799042</v>
      </c>
      <c r="L273">
        <v>31625.229439999999</v>
      </c>
      <c r="Q273">
        <v>1</v>
      </c>
      <c r="AB273">
        <v>58821.884460000001</v>
      </c>
      <c r="AC273">
        <v>106937.6971</v>
      </c>
      <c r="AD273">
        <v>110399.5134</v>
      </c>
      <c r="BV273">
        <v>0</v>
      </c>
      <c r="BW273">
        <v>-0.88665195610000003</v>
      </c>
      <c r="BX273">
        <v>0.4014813874</v>
      </c>
      <c r="BZ273">
        <v>0</v>
      </c>
      <c r="CA273">
        <v>-0.81951841459999997</v>
      </c>
      <c r="CB273">
        <v>-0.45965110949999999</v>
      </c>
      <c r="CD273">
        <v>0</v>
      </c>
      <c r="CE273">
        <v>-0.40899066830000003</v>
      </c>
      <c r="CF273">
        <v>5.0619468039999997E-2</v>
      </c>
      <c r="DE273">
        <v>-0.22947985600000001</v>
      </c>
      <c r="DF273">
        <v>0.34221400559999998</v>
      </c>
      <c r="DG273">
        <v>-0.9111335263</v>
      </c>
    </row>
    <row r="274" spans="1:111" x14ac:dyDescent="0.25">
      <c r="A274" t="s">
        <v>675</v>
      </c>
      <c r="B274" t="s">
        <v>676</v>
      </c>
      <c r="C274">
        <v>1000</v>
      </c>
      <c r="D274" t="s">
        <v>362</v>
      </c>
      <c r="E274">
        <v>12.5</v>
      </c>
      <c r="G274">
        <v>25</v>
      </c>
      <c r="H274">
        <v>50</v>
      </c>
      <c r="I274">
        <v>12.5</v>
      </c>
      <c r="J274">
        <f t="shared" si="8"/>
        <v>7.375</v>
      </c>
      <c r="K274">
        <f t="shared" si="9"/>
        <v>-1.2130075659799042</v>
      </c>
      <c r="L274">
        <v>38839.525300000001</v>
      </c>
      <c r="M274">
        <v>0.15720541439999999</v>
      </c>
      <c r="Q274">
        <v>0.84279458559999998</v>
      </c>
      <c r="R274">
        <v>38350.050080000001</v>
      </c>
      <c r="S274">
        <v>60965.538589999996</v>
      </c>
      <c r="Z274">
        <v>238589.47820000001</v>
      </c>
      <c r="AB274">
        <v>55003.355040000002</v>
      </c>
      <c r="AC274">
        <v>82385.269719999997</v>
      </c>
      <c r="AD274">
        <v>121664.014</v>
      </c>
      <c r="AJ274">
        <v>0.61281749959999998</v>
      </c>
      <c r="AK274">
        <v>-0.78972357989999997</v>
      </c>
      <c r="AL274">
        <v>-0.44139111190000002</v>
      </c>
      <c r="AN274">
        <v>-0.59946115040000003</v>
      </c>
      <c r="AS274">
        <v>0</v>
      </c>
      <c r="AT274">
        <v>0</v>
      </c>
      <c r="BK274">
        <v>0</v>
      </c>
      <c r="BL274">
        <v>-0.42604055829999998</v>
      </c>
      <c r="BN274">
        <v>-0.51487963729999997</v>
      </c>
      <c r="BV274">
        <v>0</v>
      </c>
      <c r="BX274">
        <v>-0.97427688320000005</v>
      </c>
      <c r="BY274">
        <v>0.16873578689999999</v>
      </c>
      <c r="BZ274">
        <v>0</v>
      </c>
      <c r="CA274">
        <v>0.19981393720000001</v>
      </c>
      <c r="CC274">
        <v>0.95332646460000003</v>
      </c>
      <c r="CD274">
        <v>0</v>
      </c>
      <c r="CE274">
        <v>-0.1042062221</v>
      </c>
      <c r="CG274">
        <v>0.25039345470000002</v>
      </c>
      <c r="CH274">
        <v>2.8131469669999999E-2</v>
      </c>
      <c r="CI274">
        <v>0.66769769769999998</v>
      </c>
      <c r="CK274">
        <v>-0.743900801</v>
      </c>
      <c r="DE274">
        <v>0.14937465990000001</v>
      </c>
      <c r="DF274">
        <v>0.2263692612</v>
      </c>
      <c r="DG274">
        <v>-0.9625197043</v>
      </c>
    </row>
    <row r="275" spans="1:111" x14ac:dyDescent="0.25">
      <c r="A275" t="s">
        <v>677</v>
      </c>
      <c r="B275" t="s">
        <v>678</v>
      </c>
      <c r="C275">
        <v>1000</v>
      </c>
      <c r="D275" t="s">
        <v>334</v>
      </c>
      <c r="F275">
        <v>12.5</v>
      </c>
      <c r="G275">
        <v>25</v>
      </c>
      <c r="H275">
        <v>50</v>
      </c>
      <c r="I275">
        <v>12.5</v>
      </c>
      <c r="J275">
        <f t="shared" si="8"/>
        <v>7</v>
      </c>
      <c r="K275">
        <f t="shared" si="9"/>
        <v>-1.2130075659799042</v>
      </c>
      <c r="L275">
        <v>35105.554320000003</v>
      </c>
      <c r="Q275">
        <v>1</v>
      </c>
      <c r="AB275">
        <v>49440.892630000002</v>
      </c>
      <c r="AC275">
        <v>104064.2797</v>
      </c>
      <c r="AD275">
        <v>122914.5912</v>
      </c>
      <c r="BV275">
        <v>0</v>
      </c>
      <c r="BW275">
        <v>-0.28434475889999999</v>
      </c>
      <c r="BX275">
        <v>0.95015573139999998</v>
      </c>
      <c r="BZ275">
        <v>0</v>
      </c>
      <c r="CA275">
        <v>-0.22876008940000001</v>
      </c>
      <c r="CB275">
        <v>-0.35713620530000001</v>
      </c>
      <c r="CD275">
        <v>0</v>
      </c>
      <c r="CE275">
        <v>0.21183146119999999</v>
      </c>
      <c r="CF275">
        <v>0.88971424369999996</v>
      </c>
      <c r="DE275">
        <v>-0.12787550289999999</v>
      </c>
      <c r="DF275">
        <v>-0.9056061795</v>
      </c>
      <c r="DG275">
        <v>-0.40439584159999997</v>
      </c>
    </row>
    <row r="276" spans="1:111" x14ac:dyDescent="0.25">
      <c r="A276" t="s">
        <v>679</v>
      </c>
      <c r="B276" t="s">
        <v>680</v>
      </c>
      <c r="C276">
        <v>1000</v>
      </c>
      <c r="D276" t="s">
        <v>294</v>
      </c>
      <c r="G276">
        <v>37.5</v>
      </c>
      <c r="H276">
        <v>50</v>
      </c>
      <c r="I276">
        <v>12.5</v>
      </c>
      <c r="J276">
        <f t="shared" si="8"/>
        <v>7.125</v>
      </c>
      <c r="K276">
        <f t="shared" si="9"/>
        <v>-0.97431475286934943</v>
      </c>
      <c r="L276">
        <v>38173.742960000003</v>
      </c>
      <c r="P276">
        <v>0.2206699802</v>
      </c>
      <c r="Q276">
        <v>0.77933001980000005</v>
      </c>
      <c r="W276">
        <v>48340.243880000002</v>
      </c>
      <c r="X276">
        <v>160238.9969</v>
      </c>
      <c r="AB276">
        <v>37996.771820000002</v>
      </c>
      <c r="AC276">
        <v>108629.23020000001</v>
      </c>
      <c r="AZ276">
        <v>0</v>
      </c>
      <c r="BC276">
        <v>0</v>
      </c>
      <c r="BO276">
        <v>-0.90818303300000003</v>
      </c>
      <c r="BP276">
        <v>-0.41857326249999999</v>
      </c>
      <c r="BV276">
        <v>0</v>
      </c>
      <c r="BX276">
        <v>-0.99963420290000005</v>
      </c>
      <c r="BZ276">
        <v>0</v>
      </c>
      <c r="CA276">
        <v>-2.7048796109999999E-2</v>
      </c>
      <c r="CQ276">
        <v>0.41857326550000001</v>
      </c>
      <c r="CR276">
        <v>-0.90818303440000003</v>
      </c>
      <c r="DE276">
        <v>2.7045525010000002E-2</v>
      </c>
      <c r="DF276">
        <v>-0.99963411440000005</v>
      </c>
    </row>
    <row r="277" spans="1:111" x14ac:dyDescent="0.25">
      <c r="A277" t="s">
        <v>681</v>
      </c>
      <c r="B277" t="s">
        <v>682</v>
      </c>
      <c r="C277">
        <v>1000</v>
      </c>
      <c r="D277" t="s">
        <v>362</v>
      </c>
      <c r="E277">
        <v>25</v>
      </c>
      <c r="H277">
        <v>62.5</v>
      </c>
      <c r="I277">
        <v>12.5</v>
      </c>
      <c r="J277">
        <f t="shared" si="8"/>
        <v>7.375</v>
      </c>
      <c r="K277">
        <f t="shared" si="9"/>
        <v>-0.90025605126853692</v>
      </c>
      <c r="L277">
        <v>34750.34547</v>
      </c>
      <c r="M277">
        <v>0.60157200560000001</v>
      </c>
      <c r="Q277">
        <v>0.39842799439999999</v>
      </c>
      <c r="R277">
        <v>49601.173410000003</v>
      </c>
      <c r="S277">
        <v>175852.83480000001</v>
      </c>
      <c r="AB277">
        <v>41583.730600000003</v>
      </c>
      <c r="AC277">
        <v>187279.8425</v>
      </c>
      <c r="AJ277">
        <v>0.89310989070000002</v>
      </c>
      <c r="AN277">
        <v>0.44983855560000002</v>
      </c>
      <c r="AS277">
        <v>0</v>
      </c>
      <c r="AT277">
        <v>0</v>
      </c>
      <c r="BV277">
        <v>0</v>
      </c>
      <c r="BY277">
        <v>0.86898849310000004</v>
      </c>
      <c r="BZ277">
        <v>0</v>
      </c>
      <c r="CC277">
        <v>-0.49483235619999999</v>
      </c>
      <c r="CH277">
        <v>-0.44983855230000003</v>
      </c>
      <c r="CI277">
        <v>0.89310988899999999</v>
      </c>
      <c r="DE277">
        <v>0.49483229369999998</v>
      </c>
      <c r="DF277">
        <v>0.86898845749999998</v>
      </c>
    </row>
    <row r="278" spans="1:111" x14ac:dyDescent="0.25">
      <c r="A278" t="s">
        <v>683</v>
      </c>
      <c r="B278" t="s">
        <v>684</v>
      </c>
      <c r="C278">
        <v>1000</v>
      </c>
      <c r="D278" t="s">
        <v>672</v>
      </c>
      <c r="E278">
        <v>12.5</v>
      </c>
      <c r="F278">
        <v>12.5</v>
      </c>
      <c r="H278">
        <v>62.5</v>
      </c>
      <c r="I278">
        <v>12.5</v>
      </c>
      <c r="J278">
        <f t="shared" si="8"/>
        <v>7</v>
      </c>
      <c r="K278">
        <f t="shared" si="9"/>
        <v>-1.0735428464085233</v>
      </c>
      <c r="L278">
        <v>31651.21789</v>
      </c>
      <c r="M278">
        <v>7.5177710970000006E-2</v>
      </c>
      <c r="P278">
        <v>0.57232733970000005</v>
      </c>
      <c r="Q278">
        <v>0.35249494930000003</v>
      </c>
      <c r="R278">
        <v>46710.310940000003</v>
      </c>
      <c r="S278">
        <v>95441.798379999993</v>
      </c>
      <c r="W278">
        <v>82900.281690000003</v>
      </c>
      <c r="X278">
        <v>105466.52069999999</v>
      </c>
      <c r="Z278">
        <v>186717.9418</v>
      </c>
      <c r="AA278">
        <v>291590.50699999998</v>
      </c>
      <c r="AB278">
        <v>91316.907909999994</v>
      </c>
      <c r="AC278">
        <v>126907.4565</v>
      </c>
      <c r="AD278">
        <v>243952.99239999999</v>
      </c>
      <c r="AI278">
        <v>-0.17591892649999999</v>
      </c>
      <c r="AJ278">
        <v>0.88910824909999997</v>
      </c>
      <c r="AM278">
        <v>0.95779528479999998</v>
      </c>
      <c r="AN278">
        <v>5.5468898500000002E-2</v>
      </c>
      <c r="AS278">
        <v>0</v>
      </c>
      <c r="AT278">
        <v>0</v>
      </c>
      <c r="AZ278">
        <v>0</v>
      </c>
      <c r="BA278">
        <v>0.14181768</v>
      </c>
      <c r="BB278">
        <v>0.69874562279999997</v>
      </c>
      <c r="BC278">
        <v>0</v>
      </c>
      <c r="BD278">
        <v>0.96485633010000005</v>
      </c>
      <c r="BE278">
        <v>-0.25587418550000002</v>
      </c>
      <c r="BK278">
        <v>0</v>
      </c>
      <c r="BM278">
        <v>-0.2273339446</v>
      </c>
      <c r="BN278">
        <v>-0.45432337179999999</v>
      </c>
      <c r="BQ278">
        <v>0</v>
      </c>
      <c r="BS278">
        <v>-0.22122384919999999</v>
      </c>
      <c r="BT278">
        <v>-0.66804420450000002</v>
      </c>
      <c r="BV278">
        <v>0</v>
      </c>
      <c r="BW278">
        <v>0.29076552309999998</v>
      </c>
      <c r="BY278">
        <v>0.53579332710000005</v>
      </c>
      <c r="BZ278">
        <v>0</v>
      </c>
      <c r="CB278">
        <v>-0.90197214719999996</v>
      </c>
      <c r="CC278">
        <v>0.4299128861</v>
      </c>
      <c r="CD278">
        <v>0</v>
      </c>
      <c r="CF278">
        <v>-0.31922120999999998</v>
      </c>
      <c r="CG278">
        <v>-0.72670509220000001</v>
      </c>
      <c r="CH278">
        <v>-0.42253881789999997</v>
      </c>
      <c r="CI278">
        <v>-0.28204856610000001</v>
      </c>
      <c r="CK278">
        <v>-0.86134171579999996</v>
      </c>
      <c r="CQ278">
        <v>-0.70117209030000005</v>
      </c>
      <c r="CR278">
        <v>-5.9838644449999999E-2</v>
      </c>
      <c r="CS278">
        <v>-0.710476565</v>
      </c>
      <c r="DE278">
        <v>0.79270481339999999</v>
      </c>
      <c r="DF278">
        <v>4.0263582380000003E-2</v>
      </c>
      <c r="DG278">
        <v>0.60827422109999996</v>
      </c>
    </row>
    <row r="279" spans="1:111" x14ac:dyDescent="0.25">
      <c r="A279" t="s">
        <v>685</v>
      </c>
      <c r="B279" t="s">
        <v>686</v>
      </c>
      <c r="C279">
        <v>1000</v>
      </c>
      <c r="D279" t="s">
        <v>334</v>
      </c>
      <c r="F279">
        <v>25</v>
      </c>
      <c r="H279">
        <v>62.5</v>
      </c>
      <c r="I279">
        <v>12.5</v>
      </c>
      <c r="J279">
        <f t="shared" si="8"/>
        <v>6.625</v>
      </c>
      <c r="K279">
        <f t="shared" si="9"/>
        <v>-0.90025605126853692</v>
      </c>
      <c r="L279">
        <v>28506.161649999998</v>
      </c>
      <c r="Q279">
        <v>1</v>
      </c>
      <c r="AB279">
        <v>57282.849240000003</v>
      </c>
      <c r="AC279">
        <v>105222.3221</v>
      </c>
      <c r="BV279">
        <v>0</v>
      </c>
      <c r="BW279">
        <v>-0.88803467560000005</v>
      </c>
      <c r="BZ279">
        <v>0</v>
      </c>
      <c r="CB279">
        <v>0.45977695909999999</v>
      </c>
      <c r="DE279">
        <v>-0.45977648360000001</v>
      </c>
      <c r="DF279">
        <v>-0.8880344295</v>
      </c>
    </row>
    <row r="280" spans="1:111" x14ac:dyDescent="0.25">
      <c r="A280" t="s">
        <v>687</v>
      </c>
      <c r="B280" t="s">
        <v>688</v>
      </c>
      <c r="C280">
        <v>1000</v>
      </c>
      <c r="D280" t="s">
        <v>362</v>
      </c>
      <c r="E280">
        <v>12.5</v>
      </c>
      <c r="G280">
        <v>12.5</v>
      </c>
      <c r="H280">
        <v>62.5</v>
      </c>
      <c r="I280">
        <v>12.5</v>
      </c>
      <c r="J280">
        <f t="shared" si="8"/>
        <v>7.125</v>
      </c>
      <c r="K280">
        <f t="shared" si="9"/>
        <v>-1.0735428464085233</v>
      </c>
      <c r="L280">
        <v>37802.553919999998</v>
      </c>
      <c r="M280">
        <v>8.3372181300000001E-2</v>
      </c>
      <c r="Q280">
        <v>0.91662781869999999</v>
      </c>
      <c r="R280">
        <v>48765.107369999998</v>
      </c>
      <c r="S280">
        <v>80123.837880000006</v>
      </c>
      <c r="Z280">
        <v>217074.36050000001</v>
      </c>
      <c r="AB280">
        <v>54121.144419999997</v>
      </c>
      <c r="AC280">
        <v>99587.367440000002</v>
      </c>
      <c r="AD280">
        <v>119708.5243</v>
      </c>
      <c r="AJ280">
        <v>0.87715691060000001</v>
      </c>
      <c r="AK280">
        <v>-0.24867382690000001</v>
      </c>
      <c r="AL280">
        <v>-0.82860986680000004</v>
      </c>
      <c r="AN280">
        <v>2.696942553E-2</v>
      </c>
      <c r="AS280">
        <v>0</v>
      </c>
      <c r="AT280">
        <v>0</v>
      </c>
      <c r="BK280">
        <v>0</v>
      </c>
      <c r="BL280">
        <v>-0.50156457259999998</v>
      </c>
      <c r="BN280">
        <v>-0.47944593680000003</v>
      </c>
      <c r="BV280">
        <v>0</v>
      </c>
      <c r="BX280">
        <v>1.3928985499999999E-2</v>
      </c>
      <c r="BY280">
        <v>0.91162451749999995</v>
      </c>
      <c r="BZ280">
        <v>0</v>
      </c>
      <c r="CA280">
        <v>-0.99307216899999995</v>
      </c>
      <c r="CC280">
        <v>-3.5326373510000002E-2</v>
      </c>
      <c r="CD280">
        <v>0</v>
      </c>
      <c r="CE280">
        <v>0.1166773919</v>
      </c>
      <c r="CG280">
        <v>-0.40950321119999999</v>
      </c>
      <c r="CH280">
        <v>-0.41080053799999999</v>
      </c>
      <c r="CI280">
        <v>0.55917648269999998</v>
      </c>
      <c r="CK280">
        <v>-0.72011427790000004</v>
      </c>
      <c r="DE280">
        <v>0.41078792870000003</v>
      </c>
      <c r="DF280">
        <v>0.1120701321</v>
      </c>
      <c r="DG280">
        <v>0.90481683580000005</v>
      </c>
    </row>
    <row r="281" spans="1:111" x14ac:dyDescent="0.25">
      <c r="A281" t="s">
        <v>689</v>
      </c>
      <c r="B281" t="s">
        <v>690</v>
      </c>
      <c r="C281">
        <v>1000</v>
      </c>
      <c r="D281" t="s">
        <v>334</v>
      </c>
      <c r="F281">
        <v>12.5</v>
      </c>
      <c r="G281">
        <v>12.5</v>
      </c>
      <c r="H281">
        <v>62.5</v>
      </c>
      <c r="I281">
        <v>12.5</v>
      </c>
      <c r="J281">
        <f t="shared" si="8"/>
        <v>6.75</v>
      </c>
      <c r="K281">
        <f t="shared" si="9"/>
        <v>-1.0735428464085233</v>
      </c>
      <c r="L281">
        <v>32604.309089999999</v>
      </c>
      <c r="Q281">
        <v>1</v>
      </c>
      <c r="AB281">
        <v>80225.022930000006</v>
      </c>
      <c r="AC281">
        <v>92068.555389999994</v>
      </c>
      <c r="AD281">
        <v>130870.23729999999</v>
      </c>
      <c r="BV281">
        <v>0</v>
      </c>
      <c r="BW281">
        <v>0.59340921840000005</v>
      </c>
      <c r="BX281">
        <v>-0.34830675239999997</v>
      </c>
      <c r="BZ281">
        <v>0</v>
      </c>
      <c r="CA281">
        <v>-0.84315579429999998</v>
      </c>
      <c r="CB281">
        <v>0.139924777</v>
      </c>
      <c r="CD281">
        <v>0</v>
      </c>
      <c r="CE281">
        <v>0.40959891199999998</v>
      </c>
      <c r="CF281">
        <v>0.79264537509999999</v>
      </c>
      <c r="DE281">
        <v>0.72563620760000003</v>
      </c>
      <c r="DF281">
        <v>-0.51914291229999998</v>
      </c>
      <c r="DG281">
        <v>-0.45159942489999999</v>
      </c>
    </row>
    <row r="282" spans="1:111" x14ac:dyDescent="0.25">
      <c r="A282" t="s">
        <v>691</v>
      </c>
      <c r="B282" t="s">
        <v>692</v>
      </c>
      <c r="C282">
        <v>1000</v>
      </c>
      <c r="D282" t="s">
        <v>334</v>
      </c>
      <c r="G282">
        <v>25</v>
      </c>
      <c r="H282">
        <v>62.5</v>
      </c>
      <c r="I282">
        <v>12.5</v>
      </c>
      <c r="J282">
        <f t="shared" si="8"/>
        <v>6.875</v>
      </c>
      <c r="K282">
        <f t="shared" si="9"/>
        <v>-0.90025605126853692</v>
      </c>
      <c r="L282">
        <v>37198.662349999999</v>
      </c>
      <c r="Q282">
        <v>1</v>
      </c>
      <c r="AB282">
        <v>50652.97509</v>
      </c>
      <c r="AC282">
        <v>92964.009600000005</v>
      </c>
      <c r="BV282">
        <v>0</v>
      </c>
      <c r="BX282">
        <v>-0.99055012750000004</v>
      </c>
      <c r="BZ282">
        <v>0</v>
      </c>
      <c r="CA282">
        <v>0.1371514617</v>
      </c>
      <c r="DE282">
        <v>-0.1371511752</v>
      </c>
      <c r="DF282">
        <v>-0.99055008789999999</v>
      </c>
    </row>
    <row r="283" spans="1:111" x14ac:dyDescent="0.25">
      <c r="A283" t="s">
        <v>693</v>
      </c>
      <c r="B283" t="s">
        <v>694</v>
      </c>
      <c r="C283">
        <v>1000</v>
      </c>
      <c r="D283" t="s">
        <v>362</v>
      </c>
      <c r="E283">
        <v>12.5</v>
      </c>
      <c r="H283">
        <v>75</v>
      </c>
      <c r="I283">
        <v>12.5</v>
      </c>
      <c r="J283">
        <f t="shared" si="8"/>
        <v>6.875</v>
      </c>
      <c r="K283">
        <f t="shared" si="9"/>
        <v>-0.73562193975879464</v>
      </c>
      <c r="L283">
        <v>35301.660750000003</v>
      </c>
      <c r="M283">
        <v>0.1876230461</v>
      </c>
      <c r="Q283">
        <v>0.81237695389999998</v>
      </c>
      <c r="R283">
        <v>50967.443870000003</v>
      </c>
      <c r="S283">
        <v>159509.50880000001</v>
      </c>
      <c r="AB283">
        <v>35832.295850000002</v>
      </c>
      <c r="AC283">
        <v>144053.73809999999</v>
      </c>
      <c r="AJ283">
        <v>0.85743023100000004</v>
      </c>
      <c r="AN283">
        <v>0.51460023610000005</v>
      </c>
      <c r="AS283">
        <v>0</v>
      </c>
      <c r="AT283">
        <v>0</v>
      </c>
      <c r="BV283">
        <v>0</v>
      </c>
      <c r="BY283">
        <v>0.79252442280000002</v>
      </c>
      <c r="BZ283">
        <v>0</v>
      </c>
      <c r="CC283">
        <v>-0.60984023320000003</v>
      </c>
      <c r="CH283">
        <v>-0.51460023210000005</v>
      </c>
      <c r="CI283">
        <v>0.85743022869999996</v>
      </c>
      <c r="DE283">
        <v>0.6098401752</v>
      </c>
      <c r="DF283">
        <v>0.79252437819999999</v>
      </c>
    </row>
    <row r="284" spans="1:111" x14ac:dyDescent="0.25">
      <c r="A284" t="s">
        <v>695</v>
      </c>
      <c r="B284" t="s">
        <v>696</v>
      </c>
      <c r="C284">
        <v>1000</v>
      </c>
      <c r="D284" t="s">
        <v>334</v>
      </c>
      <c r="F284">
        <v>12.5</v>
      </c>
      <c r="H284">
        <v>75</v>
      </c>
      <c r="I284">
        <v>12.5</v>
      </c>
      <c r="J284">
        <f t="shared" si="8"/>
        <v>6.5</v>
      </c>
      <c r="K284">
        <f t="shared" si="9"/>
        <v>-0.73562193975879464</v>
      </c>
      <c r="L284">
        <v>29743.978749999998</v>
      </c>
      <c r="Q284">
        <v>1</v>
      </c>
      <c r="AB284">
        <v>67134.863389999999</v>
      </c>
      <c r="AC284">
        <v>128340.51330000001</v>
      </c>
      <c r="BV284">
        <v>0</v>
      </c>
      <c r="BW284">
        <v>0.51312363660000004</v>
      </c>
      <c r="BZ284">
        <v>0</v>
      </c>
      <c r="CB284">
        <v>0.8583149242</v>
      </c>
      <c r="DE284">
        <v>0.85831470539999999</v>
      </c>
      <c r="DF284">
        <v>-0.51312327069999997</v>
      </c>
    </row>
    <row r="285" spans="1:111" x14ac:dyDescent="0.25">
      <c r="A285" t="s">
        <v>697</v>
      </c>
      <c r="B285" t="s">
        <v>698</v>
      </c>
      <c r="C285">
        <v>1000</v>
      </c>
      <c r="D285" t="s">
        <v>334</v>
      </c>
      <c r="G285">
        <v>12.5</v>
      </c>
      <c r="H285">
        <v>75</v>
      </c>
      <c r="I285">
        <v>12.5</v>
      </c>
      <c r="J285">
        <f t="shared" si="8"/>
        <v>6.625</v>
      </c>
      <c r="K285">
        <f t="shared" si="9"/>
        <v>-0.73562193975879464</v>
      </c>
      <c r="L285">
        <v>34860.662550000001</v>
      </c>
      <c r="Q285">
        <v>1</v>
      </c>
      <c r="AB285">
        <v>74597.165280000001</v>
      </c>
      <c r="AC285">
        <v>103776.5022</v>
      </c>
      <c r="BV285">
        <v>0</v>
      </c>
      <c r="BX285">
        <v>0.49001866059999999</v>
      </c>
      <c r="BZ285">
        <v>0</v>
      </c>
      <c r="CA285">
        <v>0.87171209999999999</v>
      </c>
      <c r="DE285">
        <v>0.87171194340000002</v>
      </c>
      <c r="DF285">
        <v>-0.49001838199999997</v>
      </c>
    </row>
    <row r="286" spans="1:111" x14ac:dyDescent="0.25">
      <c r="A286" t="s">
        <v>699</v>
      </c>
      <c r="B286" t="s">
        <v>700</v>
      </c>
      <c r="C286">
        <v>1000</v>
      </c>
      <c r="D286" t="s">
        <v>334</v>
      </c>
      <c r="H286">
        <v>87.5</v>
      </c>
      <c r="I286">
        <v>12.5</v>
      </c>
      <c r="J286">
        <f t="shared" si="8"/>
        <v>6.375</v>
      </c>
      <c r="K286">
        <f t="shared" si="9"/>
        <v>-0.37677016125643675</v>
      </c>
      <c r="L286">
        <v>32436.113249999999</v>
      </c>
      <c r="Q286">
        <v>1</v>
      </c>
      <c r="AB286">
        <v>72174.099480000004</v>
      </c>
      <c r="BV286">
        <v>0</v>
      </c>
      <c r="DE286">
        <v>1</v>
      </c>
    </row>
    <row r="287" spans="1:111" x14ac:dyDescent="0.25">
      <c r="A287" t="s">
        <v>701</v>
      </c>
      <c r="B287" t="s">
        <v>702</v>
      </c>
      <c r="C287">
        <v>1000</v>
      </c>
      <c r="D287" t="s">
        <v>111</v>
      </c>
      <c r="E287">
        <v>75</v>
      </c>
      <c r="I287">
        <v>25</v>
      </c>
      <c r="J287">
        <f t="shared" si="8"/>
        <v>9.75</v>
      </c>
      <c r="K287">
        <f t="shared" si="9"/>
        <v>-0.56233514461880829</v>
      </c>
      <c r="L287">
        <v>32127.920310000001</v>
      </c>
      <c r="M287">
        <v>1</v>
      </c>
      <c r="R287">
        <v>53434.138429999999</v>
      </c>
      <c r="AJ287">
        <v>1</v>
      </c>
      <c r="CH287">
        <v>0</v>
      </c>
    </row>
    <row r="288" spans="1:111" x14ac:dyDescent="0.25">
      <c r="A288" t="s">
        <v>703</v>
      </c>
      <c r="B288" t="s">
        <v>704</v>
      </c>
      <c r="C288">
        <v>1000</v>
      </c>
      <c r="D288" t="s">
        <v>111</v>
      </c>
      <c r="E288">
        <v>62.5</v>
      </c>
      <c r="F288">
        <v>12.5</v>
      </c>
      <c r="I288">
        <v>25</v>
      </c>
      <c r="J288">
        <f t="shared" si="8"/>
        <v>9.375</v>
      </c>
      <c r="K288">
        <f t="shared" si="9"/>
        <v>-0.90025605126853692</v>
      </c>
      <c r="L288">
        <v>29206.298019999998</v>
      </c>
      <c r="M288">
        <v>1</v>
      </c>
      <c r="R288">
        <v>29654.63221</v>
      </c>
      <c r="S288">
        <v>352527.55599999998</v>
      </c>
      <c r="AI288">
        <v>0</v>
      </c>
      <c r="AJ288">
        <v>0.72370751779999998</v>
      </c>
      <c r="AM288">
        <v>0</v>
      </c>
      <c r="AN288">
        <v>0.69010719320000002</v>
      </c>
      <c r="CH288">
        <v>-0.69010682410000002</v>
      </c>
      <c r="CI288">
        <v>0.72370716589999995</v>
      </c>
    </row>
    <row r="289" spans="1:90" x14ac:dyDescent="0.25">
      <c r="A289" t="s">
        <v>705</v>
      </c>
      <c r="B289" t="s">
        <v>706</v>
      </c>
      <c r="C289">
        <v>1000</v>
      </c>
      <c r="D289" t="s">
        <v>111</v>
      </c>
      <c r="E289">
        <v>50</v>
      </c>
      <c r="F289">
        <v>25</v>
      </c>
      <c r="I289">
        <v>25</v>
      </c>
      <c r="J289">
        <f t="shared" si="8"/>
        <v>9</v>
      </c>
      <c r="K289">
        <f t="shared" si="9"/>
        <v>-1.0397207708399179</v>
      </c>
      <c r="L289">
        <v>28020.944449999999</v>
      </c>
      <c r="M289">
        <v>1</v>
      </c>
      <c r="R289">
        <v>32294.657950000001</v>
      </c>
      <c r="S289">
        <v>253218.3885</v>
      </c>
      <c r="AI289">
        <v>0</v>
      </c>
      <c r="AJ289">
        <v>0.72233380989999996</v>
      </c>
      <c r="AM289">
        <v>0</v>
      </c>
      <c r="AN289">
        <v>0.6915441578</v>
      </c>
      <c r="CH289">
        <v>-0.69154455179999996</v>
      </c>
      <c r="CI289">
        <v>0.72233418709999997</v>
      </c>
    </row>
    <row r="290" spans="1:90" x14ac:dyDescent="0.25">
      <c r="A290" t="s">
        <v>707</v>
      </c>
      <c r="B290" t="s">
        <v>708</v>
      </c>
      <c r="C290">
        <v>1000</v>
      </c>
      <c r="D290" t="s">
        <v>111</v>
      </c>
      <c r="E290">
        <v>37.5</v>
      </c>
      <c r="F290">
        <v>37.5</v>
      </c>
      <c r="I290">
        <v>25</v>
      </c>
      <c r="J290">
        <f t="shared" si="8"/>
        <v>8.625</v>
      </c>
      <c r="K290">
        <f t="shared" si="9"/>
        <v>-1.0821955300387673</v>
      </c>
      <c r="L290">
        <v>28322.687959999999</v>
      </c>
      <c r="M290">
        <v>1</v>
      </c>
      <c r="R290">
        <v>35579.630799999999</v>
      </c>
      <c r="S290">
        <v>209241.7855</v>
      </c>
      <c r="AI290">
        <v>0</v>
      </c>
      <c r="AJ290">
        <v>0.71197431359999996</v>
      </c>
      <c r="AM290">
        <v>0</v>
      </c>
      <c r="AN290">
        <v>0.70220550879999999</v>
      </c>
      <c r="CH290">
        <v>-0.70220550900000001</v>
      </c>
      <c r="CI290">
        <v>0.71197431369999997</v>
      </c>
    </row>
    <row r="291" spans="1:90" x14ac:dyDescent="0.25">
      <c r="A291" t="s">
        <v>709</v>
      </c>
      <c r="B291" t="s">
        <v>710</v>
      </c>
      <c r="C291">
        <v>1000</v>
      </c>
      <c r="D291" t="s">
        <v>111</v>
      </c>
      <c r="E291">
        <v>25</v>
      </c>
      <c r="F291">
        <v>50</v>
      </c>
      <c r="I291">
        <v>25</v>
      </c>
      <c r="J291">
        <f t="shared" si="8"/>
        <v>8.25</v>
      </c>
      <c r="K291">
        <f t="shared" si="9"/>
        <v>-1.0397207708399179</v>
      </c>
      <c r="L291">
        <v>29644.48028</v>
      </c>
      <c r="M291">
        <v>1</v>
      </c>
      <c r="R291">
        <v>41453.6852</v>
      </c>
      <c r="S291">
        <v>186616.81659999999</v>
      </c>
      <c r="AI291">
        <v>0</v>
      </c>
      <c r="AJ291">
        <v>0.68474293399999997</v>
      </c>
      <c r="AM291">
        <v>0</v>
      </c>
      <c r="AN291">
        <v>-0.72878468340000002</v>
      </c>
      <c r="CH291">
        <v>-0.72878468320000001</v>
      </c>
      <c r="CI291">
        <v>-0.68474293369999994</v>
      </c>
    </row>
    <row r="292" spans="1:90" x14ac:dyDescent="0.25">
      <c r="A292" t="s">
        <v>711</v>
      </c>
      <c r="B292" t="s">
        <v>712</v>
      </c>
      <c r="C292">
        <v>1000</v>
      </c>
      <c r="D292" t="s">
        <v>111</v>
      </c>
      <c r="E292">
        <v>12.5</v>
      </c>
      <c r="F292">
        <v>62.5</v>
      </c>
      <c r="I292">
        <v>25</v>
      </c>
      <c r="J292">
        <f t="shared" si="8"/>
        <v>7.875</v>
      </c>
      <c r="K292">
        <f t="shared" si="9"/>
        <v>-0.90025605126853692</v>
      </c>
      <c r="L292">
        <v>31503.904259999999</v>
      </c>
      <c r="M292">
        <v>1</v>
      </c>
      <c r="R292">
        <v>56969.356939999998</v>
      </c>
      <c r="S292">
        <v>190959.35490000001</v>
      </c>
      <c r="AI292">
        <v>0</v>
      </c>
      <c r="AJ292">
        <v>0.57369026229999998</v>
      </c>
      <c r="AM292">
        <v>0</v>
      </c>
      <c r="AN292">
        <v>-0.81907228229999995</v>
      </c>
      <c r="CH292">
        <v>-0.81907233069999996</v>
      </c>
      <c r="CI292">
        <v>-0.57369033140000003</v>
      </c>
    </row>
    <row r="293" spans="1:90" x14ac:dyDescent="0.25">
      <c r="A293" t="s">
        <v>713</v>
      </c>
      <c r="B293" t="s">
        <v>714</v>
      </c>
      <c r="C293">
        <v>1000</v>
      </c>
      <c r="D293" t="s">
        <v>128</v>
      </c>
      <c r="F293">
        <v>75</v>
      </c>
      <c r="I293">
        <v>25</v>
      </c>
      <c r="J293">
        <f t="shared" si="8"/>
        <v>7.5</v>
      </c>
      <c r="K293">
        <f t="shared" si="9"/>
        <v>-0.56233514461880829</v>
      </c>
      <c r="L293">
        <v>31998.27636</v>
      </c>
      <c r="N293">
        <v>1</v>
      </c>
      <c r="T293">
        <v>106357.0445</v>
      </c>
      <c r="AP293">
        <v>0</v>
      </c>
      <c r="CJ293">
        <v>1</v>
      </c>
    </row>
    <row r="294" spans="1:90" x14ac:dyDescent="0.25">
      <c r="A294" t="s">
        <v>715</v>
      </c>
      <c r="B294" t="s">
        <v>716</v>
      </c>
      <c r="C294">
        <v>1000</v>
      </c>
      <c r="D294" t="s">
        <v>111</v>
      </c>
      <c r="E294">
        <v>62.5</v>
      </c>
      <c r="G294">
        <v>12.5</v>
      </c>
      <c r="I294">
        <v>25</v>
      </c>
      <c r="J294">
        <f t="shared" si="8"/>
        <v>9.5</v>
      </c>
      <c r="K294">
        <f t="shared" si="9"/>
        <v>-0.90025605126853692</v>
      </c>
      <c r="L294">
        <v>31253.788110000001</v>
      </c>
      <c r="M294">
        <v>1</v>
      </c>
      <c r="R294">
        <v>26157.707200000001</v>
      </c>
      <c r="S294">
        <v>249647.61550000001</v>
      </c>
      <c r="AJ294">
        <v>0.71900686540000003</v>
      </c>
      <c r="AK294">
        <v>0</v>
      </c>
      <c r="AL294">
        <v>0</v>
      </c>
      <c r="AN294">
        <v>0.69500360679999995</v>
      </c>
      <c r="CH294">
        <v>-0.69500296939999995</v>
      </c>
      <c r="CI294">
        <v>0.71900624930000001</v>
      </c>
    </row>
    <row r="295" spans="1:90" x14ac:dyDescent="0.25">
      <c r="A295" t="s">
        <v>717</v>
      </c>
      <c r="B295" t="s">
        <v>718</v>
      </c>
      <c r="C295">
        <v>1000</v>
      </c>
      <c r="D295" t="s">
        <v>111</v>
      </c>
      <c r="E295">
        <v>50</v>
      </c>
      <c r="F295">
        <v>12.5</v>
      </c>
      <c r="G295">
        <v>12.5</v>
      </c>
      <c r="I295">
        <v>25</v>
      </c>
      <c r="J295">
        <f t="shared" si="8"/>
        <v>9.125</v>
      </c>
      <c r="K295">
        <f t="shared" si="9"/>
        <v>-1.2130075659799042</v>
      </c>
      <c r="L295">
        <v>29530.947270000001</v>
      </c>
      <c r="M295">
        <v>1</v>
      </c>
      <c r="R295">
        <v>29696.955959999999</v>
      </c>
      <c r="S295">
        <v>80057.426550000004</v>
      </c>
      <c r="Z295">
        <v>462658.82030000002</v>
      </c>
      <c r="AI295">
        <v>0</v>
      </c>
      <c r="AJ295">
        <v>0.71466692740000004</v>
      </c>
      <c r="AK295">
        <v>-9.7992000209999996E-3</v>
      </c>
      <c r="AL295">
        <v>0.82750068300000001</v>
      </c>
      <c r="AM295">
        <v>0</v>
      </c>
      <c r="AN295">
        <v>-0.38687099870000002</v>
      </c>
      <c r="BL295">
        <v>0.5613787401</v>
      </c>
      <c r="BM295">
        <v>0</v>
      </c>
      <c r="BN295">
        <v>0.58273892019999995</v>
      </c>
      <c r="CH295">
        <v>-0.69939628149999999</v>
      </c>
      <c r="CI295">
        <v>-0.40690717609999999</v>
      </c>
      <c r="CK295">
        <v>0.5875961717</v>
      </c>
    </row>
    <row r="296" spans="1:90" x14ac:dyDescent="0.25">
      <c r="A296" t="s">
        <v>719</v>
      </c>
      <c r="B296" t="s">
        <v>720</v>
      </c>
      <c r="C296">
        <v>1000</v>
      </c>
      <c r="D296" t="s">
        <v>111</v>
      </c>
      <c r="E296">
        <v>37.5</v>
      </c>
      <c r="F296">
        <v>25</v>
      </c>
      <c r="G296">
        <v>12.5</v>
      </c>
      <c r="I296">
        <v>25</v>
      </c>
      <c r="J296">
        <f t="shared" si="8"/>
        <v>8.75</v>
      </c>
      <c r="K296">
        <f t="shared" si="9"/>
        <v>-1.3208883431493221</v>
      </c>
      <c r="L296">
        <v>29057.02234</v>
      </c>
      <c r="M296">
        <v>1</v>
      </c>
      <c r="R296">
        <v>33504.633300000001</v>
      </c>
      <c r="S296">
        <v>79722.809850000005</v>
      </c>
      <c r="Z296">
        <v>325180.78999999998</v>
      </c>
      <c r="AI296">
        <v>0</v>
      </c>
      <c r="AJ296">
        <v>0.69035622050000001</v>
      </c>
      <c r="AK296">
        <v>2.8258791839999998E-2</v>
      </c>
      <c r="AL296">
        <v>-0.83437143459999996</v>
      </c>
      <c r="AM296">
        <v>0</v>
      </c>
      <c r="AN296">
        <v>0.41455850059999999</v>
      </c>
      <c r="BL296">
        <v>-0.55047774599999999</v>
      </c>
      <c r="BM296">
        <v>0</v>
      </c>
      <c r="BN296">
        <v>-0.59291613249999997</v>
      </c>
      <c r="CH296">
        <v>-0.72291751230000001</v>
      </c>
      <c r="CI296">
        <v>0.36327064120000002</v>
      </c>
      <c r="CK296">
        <v>-0.5877284331</v>
      </c>
    </row>
    <row r="297" spans="1:90" x14ac:dyDescent="0.25">
      <c r="A297" t="s">
        <v>721</v>
      </c>
      <c r="B297" t="s">
        <v>722</v>
      </c>
      <c r="C297">
        <v>1000</v>
      </c>
      <c r="D297" t="s">
        <v>111</v>
      </c>
      <c r="E297">
        <v>25</v>
      </c>
      <c r="F297">
        <v>37.5</v>
      </c>
      <c r="G297">
        <v>12.5</v>
      </c>
      <c r="I297">
        <v>25</v>
      </c>
      <c r="J297">
        <f t="shared" si="8"/>
        <v>8.375</v>
      </c>
      <c r="K297">
        <f t="shared" si="9"/>
        <v>-1.3208883431493221</v>
      </c>
      <c r="L297">
        <v>29856.838329999999</v>
      </c>
      <c r="M297">
        <v>1</v>
      </c>
      <c r="R297">
        <v>39219.084000000003</v>
      </c>
      <c r="S297">
        <v>81616.280270000003</v>
      </c>
      <c r="Z297">
        <v>262941.75939999998</v>
      </c>
      <c r="AI297">
        <v>0</v>
      </c>
      <c r="AJ297">
        <v>0.63214962900000005</v>
      </c>
      <c r="AK297">
        <v>0.1044102677</v>
      </c>
      <c r="AL297">
        <v>0.84390528340000004</v>
      </c>
      <c r="AM297">
        <v>0</v>
      </c>
      <c r="AN297">
        <v>-0.46479899320000001</v>
      </c>
      <c r="BL297">
        <v>0.5262341371</v>
      </c>
      <c r="BM297">
        <v>0</v>
      </c>
      <c r="BN297">
        <v>0.61995866359999996</v>
      </c>
      <c r="CH297">
        <v>-0.76777948819999997</v>
      </c>
      <c r="CI297">
        <v>-0.26792866300000001</v>
      </c>
      <c r="CK297">
        <v>0.58200419960000005</v>
      </c>
    </row>
    <row r="298" spans="1:90" x14ac:dyDescent="0.25">
      <c r="A298" t="s">
        <v>723</v>
      </c>
      <c r="B298" t="s">
        <v>724</v>
      </c>
      <c r="C298">
        <v>1000</v>
      </c>
      <c r="D298" t="s">
        <v>111</v>
      </c>
      <c r="E298">
        <v>12.5</v>
      </c>
      <c r="F298">
        <v>50</v>
      </c>
      <c r="G298">
        <v>12.5</v>
      </c>
      <c r="I298">
        <v>25</v>
      </c>
      <c r="J298">
        <f t="shared" si="8"/>
        <v>8</v>
      </c>
      <c r="K298">
        <f t="shared" si="9"/>
        <v>-1.2130075659799042</v>
      </c>
      <c r="L298">
        <v>31472.71314</v>
      </c>
      <c r="M298">
        <v>1</v>
      </c>
      <c r="R298">
        <v>50438.905590000002</v>
      </c>
      <c r="S298">
        <v>91868.221189999997</v>
      </c>
      <c r="Z298">
        <v>239062.0196</v>
      </c>
      <c r="AI298">
        <v>0</v>
      </c>
      <c r="AJ298">
        <v>0.4401749432</v>
      </c>
      <c r="AK298">
        <v>0.3155961779</v>
      </c>
      <c r="AL298">
        <v>0.84251409389999998</v>
      </c>
      <c r="AM298">
        <v>0</v>
      </c>
      <c r="AN298">
        <v>-0.53754703999999998</v>
      </c>
      <c r="BL298">
        <v>0.4365421538</v>
      </c>
      <c r="BM298">
        <v>0</v>
      </c>
      <c r="BN298">
        <v>0.71922819839999996</v>
      </c>
      <c r="CH298">
        <v>-0.84062183639999999</v>
      </c>
      <c r="CI298">
        <v>3.4830754169999999E-2</v>
      </c>
      <c r="CK298">
        <v>0.54050138449999996</v>
      </c>
    </row>
    <row r="299" spans="1:90" x14ac:dyDescent="0.25">
      <c r="A299" t="s">
        <v>725</v>
      </c>
      <c r="B299" t="s">
        <v>726</v>
      </c>
      <c r="C299">
        <v>1000</v>
      </c>
      <c r="D299" t="s">
        <v>128</v>
      </c>
      <c r="F299">
        <v>62.5</v>
      </c>
      <c r="G299">
        <v>12.5</v>
      </c>
      <c r="I299">
        <v>25</v>
      </c>
      <c r="J299">
        <f t="shared" si="8"/>
        <v>7.625</v>
      </c>
      <c r="K299">
        <f t="shared" si="9"/>
        <v>-0.90025605126853692</v>
      </c>
      <c r="L299">
        <v>32441.15538</v>
      </c>
      <c r="N299">
        <v>1</v>
      </c>
      <c r="T299">
        <v>69334.254360000006</v>
      </c>
      <c r="Y299">
        <v>161379.17660000001</v>
      </c>
      <c r="AO299">
        <v>-0.67773035530000003</v>
      </c>
      <c r="AP299">
        <v>0</v>
      </c>
      <c r="BI299">
        <v>0</v>
      </c>
      <c r="BU299">
        <v>0.7353114114</v>
      </c>
      <c r="CJ299">
        <v>0.73531052320000001</v>
      </c>
      <c r="CL299">
        <v>0.67772939160000001</v>
      </c>
    </row>
    <row r="300" spans="1:90" x14ac:dyDescent="0.25">
      <c r="A300" t="s">
        <v>727</v>
      </c>
      <c r="B300" t="s">
        <v>728</v>
      </c>
      <c r="C300">
        <v>1000</v>
      </c>
      <c r="D300" t="s">
        <v>111</v>
      </c>
      <c r="E300">
        <v>50</v>
      </c>
      <c r="G300">
        <v>25</v>
      </c>
      <c r="I300">
        <v>25</v>
      </c>
      <c r="J300">
        <f t="shared" si="8"/>
        <v>9.25</v>
      </c>
      <c r="K300">
        <f t="shared" si="9"/>
        <v>-1.0397207708399179</v>
      </c>
      <c r="L300">
        <v>31460.986069999999</v>
      </c>
      <c r="M300">
        <v>1</v>
      </c>
      <c r="R300">
        <v>26422.31481</v>
      </c>
      <c r="S300">
        <v>157455.65849999999</v>
      </c>
      <c r="AJ300">
        <v>0.73498959220000004</v>
      </c>
      <c r="AK300">
        <v>0</v>
      </c>
      <c r="AL300">
        <v>0</v>
      </c>
      <c r="AN300">
        <v>0.67807942789999998</v>
      </c>
      <c r="CH300">
        <v>-0.67807838740000004</v>
      </c>
      <c r="CI300">
        <v>0.73498863219999999</v>
      </c>
    </row>
    <row r="301" spans="1:90" x14ac:dyDescent="0.25">
      <c r="A301" t="s">
        <v>729</v>
      </c>
      <c r="B301" t="s">
        <v>730</v>
      </c>
      <c r="C301">
        <v>1000</v>
      </c>
      <c r="D301" t="s">
        <v>111</v>
      </c>
      <c r="E301">
        <v>37.5</v>
      </c>
      <c r="F301">
        <v>12.5</v>
      </c>
      <c r="G301">
        <v>25</v>
      </c>
      <c r="I301">
        <v>25</v>
      </c>
      <c r="J301">
        <f t="shared" si="8"/>
        <v>8.875</v>
      </c>
      <c r="K301">
        <f t="shared" si="9"/>
        <v>-1.3208883431493221</v>
      </c>
      <c r="L301">
        <v>30565.898870000001</v>
      </c>
      <c r="M301">
        <v>1</v>
      </c>
      <c r="R301">
        <v>30749.80125</v>
      </c>
      <c r="S301">
        <v>48418.625690000001</v>
      </c>
      <c r="Z301">
        <v>444511.3898</v>
      </c>
      <c r="AI301">
        <v>0</v>
      </c>
      <c r="AJ301">
        <v>0.73374171840000002</v>
      </c>
      <c r="AK301">
        <v>-0.1086252992</v>
      </c>
      <c r="AL301">
        <v>-0.85242186600000003</v>
      </c>
      <c r="AM301">
        <v>0</v>
      </c>
      <c r="AN301">
        <v>0.27836555260000001</v>
      </c>
      <c r="BL301">
        <v>-0.51144648719999997</v>
      </c>
      <c r="BM301">
        <v>0</v>
      </c>
      <c r="BN301">
        <v>-0.6197868272</v>
      </c>
      <c r="CH301">
        <v>-0.67068892570000005</v>
      </c>
      <c r="CI301">
        <v>0.4425941498</v>
      </c>
      <c r="CK301">
        <v>-0.59521994219999996</v>
      </c>
    </row>
    <row r="302" spans="1:90" x14ac:dyDescent="0.25">
      <c r="A302" t="s">
        <v>731</v>
      </c>
      <c r="B302" t="s">
        <v>732</v>
      </c>
      <c r="C302">
        <v>1000</v>
      </c>
      <c r="D302" t="s">
        <v>111</v>
      </c>
      <c r="E302">
        <v>25</v>
      </c>
      <c r="F302">
        <v>25</v>
      </c>
      <c r="G302">
        <v>25</v>
      </c>
      <c r="I302">
        <v>25</v>
      </c>
      <c r="J302">
        <f t="shared" si="8"/>
        <v>8.5</v>
      </c>
      <c r="K302">
        <f t="shared" si="9"/>
        <v>-1.3862943611198906</v>
      </c>
      <c r="L302">
        <v>30644.629140000001</v>
      </c>
      <c r="M302">
        <v>1</v>
      </c>
      <c r="R302">
        <v>37587.431689999998</v>
      </c>
      <c r="S302">
        <v>47649.441279999999</v>
      </c>
      <c r="Z302">
        <v>309075.7389</v>
      </c>
      <c r="AI302">
        <v>0</v>
      </c>
      <c r="AJ302">
        <v>0.62349515020000001</v>
      </c>
      <c r="AK302">
        <v>0.105228354</v>
      </c>
      <c r="AL302">
        <v>-0.8805026064</v>
      </c>
      <c r="AM302">
        <v>0</v>
      </c>
      <c r="AN302">
        <v>0.42050919910000001</v>
      </c>
      <c r="BL302">
        <v>-0.46221439920000001</v>
      </c>
      <c r="BM302">
        <v>0</v>
      </c>
      <c r="BN302">
        <v>-0.6591098675</v>
      </c>
      <c r="CH302">
        <v>-0.77471336069999996</v>
      </c>
      <c r="CI302">
        <v>0.21883138150000001</v>
      </c>
      <c r="CK302">
        <v>-0.59323859599999995</v>
      </c>
    </row>
    <row r="303" spans="1:90" x14ac:dyDescent="0.25">
      <c r="A303" t="s">
        <v>733</v>
      </c>
      <c r="B303" t="s">
        <v>734</v>
      </c>
      <c r="C303">
        <v>1000</v>
      </c>
      <c r="D303" t="s">
        <v>111</v>
      </c>
      <c r="E303">
        <v>12.5</v>
      </c>
      <c r="F303">
        <v>37.5</v>
      </c>
      <c r="G303">
        <v>25</v>
      </c>
      <c r="I303">
        <v>25</v>
      </c>
      <c r="J303">
        <f t="shared" si="8"/>
        <v>8.125</v>
      </c>
      <c r="K303">
        <f t="shared" si="9"/>
        <v>-1.3208883431493221</v>
      </c>
      <c r="L303">
        <v>31807.84376</v>
      </c>
      <c r="M303">
        <v>1</v>
      </c>
      <c r="R303">
        <v>41870.747589999999</v>
      </c>
      <c r="S303">
        <v>61557.541429999997</v>
      </c>
      <c r="Z303">
        <v>266372.71240000002</v>
      </c>
      <c r="AI303">
        <v>0</v>
      </c>
      <c r="AJ303">
        <v>-0.14170891259999999</v>
      </c>
      <c r="AK303">
        <v>-0.71128796589999999</v>
      </c>
      <c r="AL303">
        <v>0.59267485549999999</v>
      </c>
      <c r="AM303">
        <v>0</v>
      </c>
      <c r="AN303">
        <v>-0.64751738660000002</v>
      </c>
      <c r="BL303">
        <v>0.3779134374</v>
      </c>
      <c r="BM303">
        <v>0</v>
      </c>
      <c r="BN303">
        <v>0.74875746679999999</v>
      </c>
      <c r="CH303">
        <v>0.68846787409999999</v>
      </c>
      <c r="CI303">
        <v>0.47901748379999998</v>
      </c>
      <c r="CK303">
        <v>0.54455825179999995</v>
      </c>
    </row>
    <row r="304" spans="1:90" x14ac:dyDescent="0.25">
      <c r="A304" t="s">
        <v>735</v>
      </c>
      <c r="B304" t="s">
        <v>736</v>
      </c>
      <c r="C304">
        <v>1000</v>
      </c>
      <c r="D304" t="s">
        <v>111</v>
      </c>
      <c r="F304">
        <v>50</v>
      </c>
      <c r="G304">
        <v>25</v>
      </c>
      <c r="I304">
        <v>25</v>
      </c>
      <c r="J304">
        <f t="shared" si="8"/>
        <v>7.75</v>
      </c>
      <c r="K304">
        <f t="shared" si="9"/>
        <v>-1.0397207708399179</v>
      </c>
      <c r="L304">
        <v>33585.884480000001</v>
      </c>
      <c r="M304">
        <v>1</v>
      </c>
      <c r="R304">
        <v>40426.543700000002</v>
      </c>
      <c r="S304">
        <v>127097.1514</v>
      </c>
      <c r="AI304">
        <v>0</v>
      </c>
      <c r="AK304">
        <v>-0.8435992833</v>
      </c>
      <c r="AL304">
        <v>-0.53697240810000002</v>
      </c>
      <c r="AM304">
        <v>0</v>
      </c>
      <c r="CH304">
        <v>0.53697322960000005</v>
      </c>
      <c r="CI304">
        <v>-0.84359980619999997</v>
      </c>
    </row>
    <row r="305" spans="1:90" x14ac:dyDescent="0.25">
      <c r="A305" t="s">
        <v>737</v>
      </c>
      <c r="B305" t="s">
        <v>738</v>
      </c>
      <c r="C305">
        <v>1000</v>
      </c>
      <c r="D305" t="s">
        <v>111</v>
      </c>
      <c r="E305">
        <v>37.5</v>
      </c>
      <c r="G305">
        <v>37.5</v>
      </c>
      <c r="I305">
        <v>25</v>
      </c>
      <c r="J305">
        <f t="shared" si="8"/>
        <v>9</v>
      </c>
      <c r="K305">
        <f t="shared" si="9"/>
        <v>-1.0821955300387673</v>
      </c>
      <c r="L305">
        <v>32503.768980000001</v>
      </c>
      <c r="M305">
        <v>1</v>
      </c>
      <c r="R305">
        <v>27757.712009999999</v>
      </c>
      <c r="S305">
        <v>119856.2206</v>
      </c>
      <c r="AJ305">
        <v>0.75807300990000004</v>
      </c>
      <c r="AK305">
        <v>0</v>
      </c>
      <c r="AL305">
        <v>0</v>
      </c>
      <c r="AN305">
        <v>0.65217309089999997</v>
      </c>
      <c r="CH305">
        <v>-0.65216969550000004</v>
      </c>
      <c r="CI305">
        <v>0.75807008870000003</v>
      </c>
    </row>
    <row r="306" spans="1:90" x14ac:dyDescent="0.25">
      <c r="A306" t="s">
        <v>739</v>
      </c>
      <c r="B306" t="s">
        <v>740</v>
      </c>
      <c r="C306">
        <v>1000</v>
      </c>
      <c r="D306" t="s">
        <v>111</v>
      </c>
      <c r="E306">
        <v>25</v>
      </c>
      <c r="F306">
        <v>12.5</v>
      </c>
      <c r="G306">
        <v>37.5</v>
      </c>
      <c r="I306">
        <v>25</v>
      </c>
      <c r="J306">
        <f t="shared" si="8"/>
        <v>8.625</v>
      </c>
      <c r="K306">
        <f t="shared" si="9"/>
        <v>-1.3208883431493221</v>
      </c>
      <c r="L306">
        <v>32011.141240000001</v>
      </c>
      <c r="M306">
        <v>1</v>
      </c>
      <c r="R306">
        <v>33816.508670000003</v>
      </c>
      <c r="S306">
        <v>38164.219590000001</v>
      </c>
      <c r="Z306">
        <v>443278.05249999999</v>
      </c>
      <c r="AI306">
        <v>0</v>
      </c>
      <c r="AJ306">
        <v>0.75096652760000004</v>
      </c>
      <c r="AK306">
        <v>-0.5213785004</v>
      </c>
      <c r="AL306">
        <v>-0.70358298139999997</v>
      </c>
      <c r="AM306">
        <v>0</v>
      </c>
      <c r="AN306">
        <v>-0.1096792431</v>
      </c>
      <c r="BL306">
        <v>-0.48280711269999999</v>
      </c>
      <c r="BM306">
        <v>0</v>
      </c>
      <c r="BN306">
        <v>-0.65117362590000005</v>
      </c>
      <c r="CH306">
        <v>-0.40523293760000001</v>
      </c>
      <c r="CI306">
        <v>0.70209789339999995</v>
      </c>
      <c r="CK306">
        <v>-0.58555119410000001</v>
      </c>
    </row>
    <row r="307" spans="1:90" x14ac:dyDescent="0.25">
      <c r="A307" t="s">
        <v>741</v>
      </c>
      <c r="B307" t="s">
        <v>742</v>
      </c>
      <c r="C307">
        <v>1000</v>
      </c>
      <c r="D307" t="s">
        <v>111</v>
      </c>
      <c r="E307">
        <v>12.5</v>
      </c>
      <c r="F307">
        <v>25</v>
      </c>
      <c r="G307">
        <v>37.5</v>
      </c>
      <c r="I307">
        <v>25</v>
      </c>
      <c r="J307">
        <f t="shared" si="8"/>
        <v>8.25</v>
      </c>
      <c r="K307">
        <f t="shared" si="9"/>
        <v>-1.3208883431493221</v>
      </c>
      <c r="L307">
        <v>32515.52046</v>
      </c>
      <c r="M307">
        <v>1</v>
      </c>
      <c r="R307">
        <v>35134.436629999997</v>
      </c>
      <c r="S307">
        <v>54036.472609999997</v>
      </c>
      <c r="Z307">
        <v>318395.98119999998</v>
      </c>
      <c r="AI307">
        <v>0</v>
      </c>
      <c r="AJ307">
        <v>8.0268568829999998E-2</v>
      </c>
      <c r="AK307">
        <v>-0.85619152180000002</v>
      </c>
      <c r="AL307">
        <v>0.33454611820000002</v>
      </c>
      <c r="AM307">
        <v>0</v>
      </c>
      <c r="AN307">
        <v>-0.6666845227</v>
      </c>
      <c r="BL307">
        <v>0.39372817319999998</v>
      </c>
      <c r="BM307">
        <v>0</v>
      </c>
      <c r="BN307">
        <v>0.74100623089999995</v>
      </c>
      <c r="CH307">
        <v>0.5103851828</v>
      </c>
      <c r="CI307">
        <v>0.66604102119999997</v>
      </c>
      <c r="CK307">
        <v>0.54395578079999996</v>
      </c>
    </row>
    <row r="308" spans="1:90" x14ac:dyDescent="0.25">
      <c r="A308" t="s">
        <v>743</v>
      </c>
      <c r="B308" t="s">
        <v>744</v>
      </c>
      <c r="C308">
        <v>1000</v>
      </c>
      <c r="D308" t="s">
        <v>111</v>
      </c>
      <c r="F308">
        <v>37.5</v>
      </c>
      <c r="G308">
        <v>37.5</v>
      </c>
      <c r="I308">
        <v>25</v>
      </c>
      <c r="J308">
        <f t="shared" si="8"/>
        <v>7.875</v>
      </c>
      <c r="K308">
        <f t="shared" si="9"/>
        <v>-1.0821955300387673</v>
      </c>
      <c r="L308">
        <v>33915.81914</v>
      </c>
      <c r="M308">
        <v>1</v>
      </c>
      <c r="R308">
        <v>32295.475849999999</v>
      </c>
      <c r="S308">
        <v>134750.53880000001</v>
      </c>
      <c r="AI308">
        <v>0</v>
      </c>
      <c r="AK308">
        <v>-0.8611948129</v>
      </c>
      <c r="AL308">
        <v>-0.50827507819999995</v>
      </c>
      <c r="AM308">
        <v>0</v>
      </c>
      <c r="CH308">
        <v>0.50827501829999999</v>
      </c>
      <c r="CI308">
        <v>-0.86119477749999995</v>
      </c>
    </row>
    <row r="309" spans="1:90" x14ac:dyDescent="0.25">
      <c r="A309" t="s">
        <v>745</v>
      </c>
      <c r="B309" t="s">
        <v>746</v>
      </c>
      <c r="C309">
        <v>1000</v>
      </c>
      <c r="D309" t="s">
        <v>111</v>
      </c>
      <c r="E309">
        <v>25</v>
      </c>
      <c r="G309">
        <v>50</v>
      </c>
      <c r="I309">
        <v>25</v>
      </c>
      <c r="J309">
        <f t="shared" si="8"/>
        <v>8.75</v>
      </c>
      <c r="K309">
        <f t="shared" si="9"/>
        <v>-1.0397207708399179</v>
      </c>
      <c r="L309">
        <v>33840.676520000001</v>
      </c>
      <c r="M309">
        <v>1</v>
      </c>
      <c r="R309">
        <v>33098.6005</v>
      </c>
      <c r="S309">
        <v>104954.6281</v>
      </c>
      <c r="AJ309">
        <v>0.7534364791</v>
      </c>
      <c r="AK309">
        <v>0</v>
      </c>
      <c r="AL309">
        <v>0</v>
      </c>
      <c r="AN309">
        <v>0.65752326179999998</v>
      </c>
      <c r="CH309">
        <v>-0.65752070080000002</v>
      </c>
      <c r="CI309">
        <v>0.75343424410000004</v>
      </c>
    </row>
    <row r="310" spans="1:90" x14ac:dyDescent="0.25">
      <c r="A310" t="s">
        <v>747</v>
      </c>
      <c r="B310" t="s">
        <v>748</v>
      </c>
      <c r="C310">
        <v>1000</v>
      </c>
      <c r="D310" t="s">
        <v>111</v>
      </c>
      <c r="E310">
        <v>12.5</v>
      </c>
      <c r="F310">
        <v>12.5</v>
      </c>
      <c r="G310">
        <v>50</v>
      </c>
      <c r="I310">
        <v>25</v>
      </c>
      <c r="J310">
        <f t="shared" si="8"/>
        <v>8.375</v>
      </c>
      <c r="K310">
        <f t="shared" si="9"/>
        <v>-1.2130075659799042</v>
      </c>
      <c r="L310">
        <v>33600.950539999998</v>
      </c>
      <c r="M310">
        <v>1</v>
      </c>
      <c r="R310">
        <v>32630.60426</v>
      </c>
      <c r="S310">
        <v>51382.706440000002</v>
      </c>
      <c r="Z310">
        <v>453204.7562</v>
      </c>
      <c r="AI310">
        <v>0</v>
      </c>
      <c r="AJ310">
        <v>-0.18642558989999999</v>
      </c>
      <c r="AK310">
        <v>0.86767935380000005</v>
      </c>
      <c r="AL310">
        <v>0.22198422370000001</v>
      </c>
      <c r="AM310">
        <v>0</v>
      </c>
      <c r="AN310">
        <v>-0.6841757651</v>
      </c>
      <c r="BL310">
        <v>0.44481127310000002</v>
      </c>
      <c r="BM310">
        <v>0</v>
      </c>
      <c r="BN310">
        <v>0.70508871120000005</v>
      </c>
      <c r="CH310">
        <v>-0.46084491789999998</v>
      </c>
      <c r="CI310">
        <v>0.69471326960000002</v>
      </c>
      <c r="CK310">
        <v>0.55226156900000001</v>
      </c>
    </row>
    <row r="311" spans="1:90" x14ac:dyDescent="0.25">
      <c r="A311" t="s">
        <v>749</v>
      </c>
      <c r="B311" t="s">
        <v>750</v>
      </c>
      <c r="C311">
        <v>1000</v>
      </c>
      <c r="D311" t="s">
        <v>111</v>
      </c>
      <c r="F311">
        <v>25</v>
      </c>
      <c r="G311">
        <v>50</v>
      </c>
      <c r="I311">
        <v>25</v>
      </c>
      <c r="J311">
        <f t="shared" si="8"/>
        <v>8</v>
      </c>
      <c r="K311">
        <f t="shared" si="9"/>
        <v>-1.0397207708399179</v>
      </c>
      <c r="L311">
        <v>34418.454279999998</v>
      </c>
      <c r="M311">
        <v>1</v>
      </c>
      <c r="R311">
        <v>30079.106250000001</v>
      </c>
      <c r="S311">
        <v>157714.8094</v>
      </c>
      <c r="AI311">
        <v>0</v>
      </c>
      <c r="AK311">
        <v>-0.84663918760000001</v>
      </c>
      <c r="AL311">
        <v>-0.53216729510000005</v>
      </c>
      <c r="AM311">
        <v>0</v>
      </c>
      <c r="CH311">
        <v>0.53216734779999997</v>
      </c>
      <c r="CI311">
        <v>-0.84663922069999997</v>
      </c>
    </row>
    <row r="312" spans="1:90" x14ac:dyDescent="0.25">
      <c r="A312" t="s">
        <v>751</v>
      </c>
      <c r="B312" t="s">
        <v>752</v>
      </c>
      <c r="C312">
        <v>1000</v>
      </c>
      <c r="D312" t="s">
        <v>111</v>
      </c>
      <c r="E312">
        <v>12.5</v>
      </c>
      <c r="G312">
        <v>62.5</v>
      </c>
      <c r="I312">
        <v>25</v>
      </c>
      <c r="J312">
        <f t="shared" si="8"/>
        <v>8.5</v>
      </c>
      <c r="K312">
        <f t="shared" si="9"/>
        <v>-0.90025605126853692</v>
      </c>
      <c r="L312">
        <v>35055.568670000001</v>
      </c>
      <c r="M312">
        <v>1</v>
      </c>
      <c r="R312">
        <v>50467.558069999999</v>
      </c>
      <c r="S312">
        <v>118051.63920000001</v>
      </c>
      <c r="AJ312">
        <v>0.56140293450000001</v>
      </c>
      <c r="AK312">
        <v>0</v>
      </c>
      <c r="AL312">
        <v>0</v>
      </c>
      <c r="AN312">
        <v>-0.82754270470000002</v>
      </c>
      <c r="CH312">
        <v>-0.82754259419999998</v>
      </c>
      <c r="CI312">
        <v>-0.56140277149999995</v>
      </c>
    </row>
    <row r="313" spans="1:90" x14ac:dyDescent="0.25">
      <c r="A313" t="s">
        <v>753</v>
      </c>
      <c r="B313" t="s">
        <v>754</v>
      </c>
      <c r="C313">
        <v>1000</v>
      </c>
      <c r="D313" t="s">
        <v>111</v>
      </c>
      <c r="F313">
        <v>12.5</v>
      </c>
      <c r="G313">
        <v>62.5</v>
      </c>
      <c r="I313">
        <v>25</v>
      </c>
      <c r="J313">
        <f t="shared" si="8"/>
        <v>8.125</v>
      </c>
      <c r="K313">
        <f t="shared" si="9"/>
        <v>-0.90025605126853692</v>
      </c>
      <c r="L313">
        <v>35100.546589999998</v>
      </c>
      <c r="M313">
        <v>1</v>
      </c>
      <c r="R313">
        <v>31272.77347</v>
      </c>
      <c r="S313">
        <v>236403.60699999999</v>
      </c>
      <c r="AI313">
        <v>0</v>
      </c>
      <c r="AK313">
        <v>-0.80123363950000004</v>
      </c>
      <c r="AL313">
        <v>-0.59835165930000001</v>
      </c>
      <c r="AM313">
        <v>0</v>
      </c>
      <c r="CH313">
        <v>0.59835161479999999</v>
      </c>
      <c r="CI313">
        <v>-0.80123360629999996</v>
      </c>
    </row>
    <row r="314" spans="1:90" x14ac:dyDescent="0.25">
      <c r="A314" t="s">
        <v>755</v>
      </c>
      <c r="B314" t="s">
        <v>756</v>
      </c>
      <c r="C314">
        <v>1000</v>
      </c>
      <c r="D314" t="s">
        <v>111</v>
      </c>
      <c r="G314">
        <v>75</v>
      </c>
      <c r="I314">
        <v>25</v>
      </c>
      <c r="J314">
        <f t="shared" si="8"/>
        <v>8.25</v>
      </c>
      <c r="K314">
        <f t="shared" si="9"/>
        <v>-0.56233514461880829</v>
      </c>
      <c r="L314">
        <v>35968.212390000001</v>
      </c>
      <c r="M314">
        <v>1</v>
      </c>
      <c r="R314">
        <v>70585.281480000005</v>
      </c>
      <c r="AK314">
        <v>0</v>
      </c>
      <c r="CH314">
        <v>1</v>
      </c>
    </row>
    <row r="315" spans="1:90" x14ac:dyDescent="0.25">
      <c r="A315" t="s">
        <v>757</v>
      </c>
      <c r="B315" t="s">
        <v>758</v>
      </c>
      <c r="C315">
        <v>1000</v>
      </c>
      <c r="D315" t="s">
        <v>111</v>
      </c>
      <c r="E315">
        <v>62.5</v>
      </c>
      <c r="H315">
        <v>12.5</v>
      </c>
      <c r="I315">
        <v>25</v>
      </c>
      <c r="J315">
        <f t="shared" si="8"/>
        <v>9.25</v>
      </c>
      <c r="K315">
        <f t="shared" si="9"/>
        <v>-0.90025605126853692</v>
      </c>
      <c r="L315">
        <v>31467.42801</v>
      </c>
      <c r="M315">
        <v>1</v>
      </c>
      <c r="R315">
        <v>31790.494699999999</v>
      </c>
      <c r="S315">
        <v>378754.6569</v>
      </c>
      <c r="AJ315">
        <v>0.75172238820000004</v>
      </c>
      <c r="AN315">
        <v>0.65947930779999997</v>
      </c>
      <c r="AS315">
        <v>0</v>
      </c>
      <c r="AT315">
        <v>0</v>
      </c>
      <c r="CH315">
        <v>-0.65947968199999996</v>
      </c>
      <c r="CI315">
        <v>0.7517227165</v>
      </c>
    </row>
    <row r="316" spans="1:90" x14ac:dyDescent="0.25">
      <c r="A316" t="s">
        <v>759</v>
      </c>
      <c r="B316" t="s">
        <v>760</v>
      </c>
      <c r="C316">
        <v>1000</v>
      </c>
      <c r="D316" t="s">
        <v>111</v>
      </c>
      <c r="E316">
        <v>50</v>
      </c>
      <c r="F316">
        <v>12.5</v>
      </c>
      <c r="H316">
        <v>12.5</v>
      </c>
      <c r="I316">
        <v>25</v>
      </c>
      <c r="J316">
        <f t="shared" si="8"/>
        <v>8.875</v>
      </c>
      <c r="K316">
        <f t="shared" si="9"/>
        <v>-1.2130075659799042</v>
      </c>
      <c r="L316">
        <v>29596.555680000001</v>
      </c>
      <c r="M316">
        <v>1</v>
      </c>
      <c r="R316">
        <v>34054.747719999999</v>
      </c>
      <c r="S316">
        <v>103942.52499999999</v>
      </c>
      <c r="Z316">
        <v>404239.97269999998</v>
      </c>
      <c r="AI316">
        <v>-2.7582947020000002E-2</v>
      </c>
      <c r="AJ316">
        <v>0.77121300100000001</v>
      </c>
      <c r="AM316">
        <v>-0.90553410050000005</v>
      </c>
      <c r="AN316">
        <v>0.25018374920000003</v>
      </c>
      <c r="AS316">
        <v>0</v>
      </c>
      <c r="AT316">
        <v>0</v>
      </c>
      <c r="BK316">
        <v>0</v>
      </c>
      <c r="BM316">
        <v>-0.42337562940000001</v>
      </c>
      <c r="BN316">
        <v>-0.58535203979999995</v>
      </c>
      <c r="CH316">
        <v>-0.63597931419999998</v>
      </c>
      <c r="CI316">
        <v>0.34266030489999999</v>
      </c>
      <c r="CK316">
        <v>-0.69145937400000002</v>
      </c>
    </row>
    <row r="317" spans="1:90" x14ac:dyDescent="0.25">
      <c r="A317" t="s">
        <v>761</v>
      </c>
      <c r="B317" t="s">
        <v>762</v>
      </c>
      <c r="C317">
        <v>1000</v>
      </c>
      <c r="D317" t="s">
        <v>111</v>
      </c>
      <c r="E317">
        <v>37.5</v>
      </c>
      <c r="F317">
        <v>25</v>
      </c>
      <c r="H317">
        <v>12.5</v>
      </c>
      <c r="I317">
        <v>25</v>
      </c>
      <c r="J317">
        <f t="shared" si="8"/>
        <v>8.5</v>
      </c>
      <c r="K317">
        <f t="shared" si="9"/>
        <v>-1.3208883431493221</v>
      </c>
      <c r="L317">
        <v>29165.74884</v>
      </c>
      <c r="M317">
        <v>1</v>
      </c>
      <c r="R317">
        <v>37085.011530000003</v>
      </c>
      <c r="S317">
        <v>68364.401769999997</v>
      </c>
      <c r="Z317">
        <v>375267.6361</v>
      </c>
      <c r="AI317">
        <v>1.212820182E-2</v>
      </c>
      <c r="AJ317">
        <v>0.77472197310000002</v>
      </c>
      <c r="AM317">
        <v>-0.91027554160000002</v>
      </c>
      <c r="AN317">
        <v>0.27020709269999998</v>
      </c>
      <c r="AS317">
        <v>0</v>
      </c>
      <c r="AT317">
        <v>0</v>
      </c>
      <c r="BK317">
        <v>0</v>
      </c>
      <c r="BM317">
        <v>-0.41382525930000003</v>
      </c>
      <c r="BN317">
        <v>-0.57165898159999995</v>
      </c>
      <c r="CH317">
        <v>-0.63218570929999995</v>
      </c>
      <c r="CI317">
        <v>0.3136663281</v>
      </c>
      <c r="CK317">
        <v>-0.70848758879999996</v>
      </c>
    </row>
    <row r="318" spans="1:90" x14ac:dyDescent="0.25">
      <c r="A318" t="s">
        <v>763</v>
      </c>
      <c r="B318" t="s">
        <v>764</v>
      </c>
      <c r="C318">
        <v>1000</v>
      </c>
      <c r="D318" t="s">
        <v>111</v>
      </c>
      <c r="E318">
        <v>25</v>
      </c>
      <c r="F318">
        <v>37.5</v>
      </c>
      <c r="H318">
        <v>12.5</v>
      </c>
      <c r="I318">
        <v>25</v>
      </c>
      <c r="J318">
        <f t="shared" si="8"/>
        <v>8.125</v>
      </c>
      <c r="K318">
        <f t="shared" si="9"/>
        <v>-1.3208883431493221</v>
      </c>
      <c r="L318">
        <v>29695.000510000002</v>
      </c>
      <c r="M318">
        <v>1</v>
      </c>
      <c r="R318">
        <v>42773.322399999997</v>
      </c>
      <c r="S318">
        <v>58055.126470000003</v>
      </c>
      <c r="Z318">
        <v>354176.6275</v>
      </c>
      <c r="AI318">
        <v>0.1876642996</v>
      </c>
      <c r="AJ318">
        <v>0.7160797753</v>
      </c>
      <c r="AM318">
        <v>-0.88296324820000005</v>
      </c>
      <c r="AN318">
        <v>0.42284511029999999</v>
      </c>
      <c r="AS318">
        <v>0</v>
      </c>
      <c r="AT318">
        <v>0</v>
      </c>
      <c r="BK318">
        <v>0</v>
      </c>
      <c r="BM318">
        <v>-0.43029991200000001</v>
      </c>
      <c r="BN318">
        <v>-0.55536633609999997</v>
      </c>
      <c r="CH318">
        <v>-0.67231827730000004</v>
      </c>
      <c r="CI318">
        <v>0.2039066329</v>
      </c>
      <c r="CK318">
        <v>-0.71162505470000004</v>
      </c>
    </row>
    <row r="319" spans="1:90" x14ac:dyDescent="0.25">
      <c r="A319" t="s">
        <v>765</v>
      </c>
      <c r="B319" t="s">
        <v>766</v>
      </c>
      <c r="C319">
        <v>1000</v>
      </c>
      <c r="D319" t="s">
        <v>111</v>
      </c>
      <c r="E319">
        <v>12.5</v>
      </c>
      <c r="F319">
        <v>50</v>
      </c>
      <c r="H319">
        <v>12.5</v>
      </c>
      <c r="I319">
        <v>25</v>
      </c>
      <c r="J319">
        <f t="shared" si="8"/>
        <v>7.75</v>
      </c>
      <c r="K319">
        <f t="shared" si="9"/>
        <v>-1.2130075659799042</v>
      </c>
      <c r="L319">
        <v>30702.59172</v>
      </c>
      <c r="M319">
        <v>1</v>
      </c>
      <c r="R319">
        <v>48421.722840000002</v>
      </c>
      <c r="S319">
        <v>72826.745550000007</v>
      </c>
      <c r="Z319">
        <v>343848.81180000002</v>
      </c>
      <c r="AI319">
        <v>-0.76255643179999999</v>
      </c>
      <c r="AJ319">
        <v>-0.1690528463</v>
      </c>
      <c r="AM319">
        <v>0.47531678030000002</v>
      </c>
      <c r="AN319">
        <v>-0.80118761329999999</v>
      </c>
      <c r="AS319">
        <v>0</v>
      </c>
      <c r="AT319">
        <v>0</v>
      </c>
      <c r="BK319">
        <v>0</v>
      </c>
      <c r="BM319">
        <v>0.43883568340000001</v>
      </c>
      <c r="BN319">
        <v>0.5740393117</v>
      </c>
      <c r="CH319">
        <v>0.62444281040000005</v>
      </c>
      <c r="CI319">
        <v>0.36355517700000001</v>
      </c>
      <c r="CK319">
        <v>0.69130464459999996</v>
      </c>
    </row>
    <row r="320" spans="1:90" x14ac:dyDescent="0.25">
      <c r="A320" t="s">
        <v>767</v>
      </c>
      <c r="B320" t="s">
        <v>768</v>
      </c>
      <c r="C320">
        <v>1000</v>
      </c>
      <c r="D320" t="s">
        <v>128</v>
      </c>
      <c r="F320">
        <v>62.5</v>
      </c>
      <c r="H320">
        <v>12.5</v>
      </c>
      <c r="I320">
        <v>25</v>
      </c>
      <c r="J320">
        <f t="shared" si="8"/>
        <v>7.375</v>
      </c>
      <c r="K320">
        <f t="shared" si="9"/>
        <v>-0.90025605126853692</v>
      </c>
      <c r="L320">
        <v>30599.585940000001</v>
      </c>
      <c r="N320">
        <v>1</v>
      </c>
      <c r="T320">
        <v>58756.931219999999</v>
      </c>
      <c r="Y320">
        <v>306138.00469999999</v>
      </c>
      <c r="AP320">
        <v>-0.79087210139999997</v>
      </c>
      <c r="BF320">
        <v>0</v>
      </c>
      <c r="BH320">
        <v>0</v>
      </c>
      <c r="BI320">
        <v>-0.61198147010000004</v>
      </c>
      <c r="CJ320">
        <v>0.6119814697</v>
      </c>
      <c r="CL320">
        <v>-0.79087210109999995</v>
      </c>
    </row>
    <row r="321" spans="1:102" x14ac:dyDescent="0.25">
      <c r="A321" t="s">
        <v>769</v>
      </c>
      <c r="B321" t="s">
        <v>770</v>
      </c>
      <c r="C321">
        <v>1000</v>
      </c>
      <c r="D321" t="s">
        <v>111</v>
      </c>
      <c r="E321">
        <v>50</v>
      </c>
      <c r="G321">
        <v>12.5</v>
      </c>
      <c r="H321">
        <v>12.5</v>
      </c>
      <c r="I321">
        <v>25</v>
      </c>
      <c r="J321">
        <f t="shared" si="8"/>
        <v>9</v>
      </c>
      <c r="K321">
        <f t="shared" si="9"/>
        <v>-1.2130075659799042</v>
      </c>
      <c r="L321">
        <v>32320.376370000002</v>
      </c>
      <c r="M321">
        <v>1</v>
      </c>
      <c r="R321">
        <v>31770.067449999999</v>
      </c>
      <c r="S321">
        <v>76857.267569999996</v>
      </c>
      <c r="Z321">
        <v>472271.27309999999</v>
      </c>
      <c r="AJ321">
        <v>0.76868839649999998</v>
      </c>
      <c r="AK321">
        <v>-5.5417425149999998E-2</v>
      </c>
      <c r="AL321">
        <v>-0.84217470289999996</v>
      </c>
      <c r="AN321">
        <v>0.30683457330000002</v>
      </c>
      <c r="AS321">
        <v>0</v>
      </c>
      <c r="AT321">
        <v>0</v>
      </c>
      <c r="BK321">
        <v>0</v>
      </c>
      <c r="BL321">
        <v>-0.53634863799999999</v>
      </c>
      <c r="BN321">
        <v>-0.56122077869999998</v>
      </c>
      <c r="CH321">
        <v>-0.63721821860000005</v>
      </c>
      <c r="CI321">
        <v>0.44338957420000003</v>
      </c>
      <c r="CK321">
        <v>-0.63036606510000004</v>
      </c>
    </row>
    <row r="322" spans="1:102" x14ac:dyDescent="0.25">
      <c r="A322" t="s">
        <v>771</v>
      </c>
      <c r="B322" t="s">
        <v>772</v>
      </c>
      <c r="C322">
        <v>1000</v>
      </c>
      <c r="D322" t="s">
        <v>111</v>
      </c>
      <c r="E322">
        <v>37.5</v>
      </c>
      <c r="F322">
        <v>12.5</v>
      </c>
      <c r="G322">
        <v>12.5</v>
      </c>
      <c r="H322">
        <v>12.5</v>
      </c>
      <c r="I322">
        <v>25</v>
      </c>
      <c r="J322">
        <f t="shared" si="8"/>
        <v>8.625</v>
      </c>
      <c r="K322">
        <f t="shared" si="9"/>
        <v>-1.4941751382893085</v>
      </c>
      <c r="L322">
        <v>31035.66274</v>
      </c>
      <c r="M322">
        <v>1</v>
      </c>
      <c r="R322">
        <v>35833.310490000003</v>
      </c>
      <c r="S322">
        <v>76677.341459999996</v>
      </c>
      <c r="Z322">
        <v>107541.0428</v>
      </c>
      <c r="AF322">
        <v>512194.77789999999</v>
      </c>
      <c r="AI322">
        <v>1.299196115E-2</v>
      </c>
      <c r="AJ322">
        <v>0.76130063619999999</v>
      </c>
      <c r="AK322">
        <v>-9.081606834E-3</v>
      </c>
      <c r="AL322">
        <v>-0.84221250759999999</v>
      </c>
      <c r="AM322">
        <v>5.3753499259999997E-2</v>
      </c>
      <c r="AN322">
        <v>0.34138119919999999</v>
      </c>
      <c r="AS322">
        <v>0</v>
      </c>
      <c r="AT322">
        <v>0</v>
      </c>
      <c r="BK322">
        <v>0</v>
      </c>
      <c r="BL322">
        <v>0.16645411700000001</v>
      </c>
      <c r="BM322">
        <v>-0.9202955008</v>
      </c>
      <c r="BN322">
        <v>0.23961360300000001</v>
      </c>
      <c r="CH322">
        <v>-0.648205272</v>
      </c>
      <c r="CI322">
        <v>0.41382064969999999</v>
      </c>
      <c r="CK322">
        <v>0.26064255110000001</v>
      </c>
      <c r="CT322">
        <v>-0.58365045579999997</v>
      </c>
      <c r="CU322">
        <v>0</v>
      </c>
      <c r="CV322">
        <v>-0.51272667419999995</v>
      </c>
      <c r="CW322">
        <v>-0.38729570190000001</v>
      </c>
      <c r="CX322">
        <v>-0.49645296080000001</v>
      </c>
    </row>
    <row r="323" spans="1:102" x14ac:dyDescent="0.25">
      <c r="A323" t="s">
        <v>773</v>
      </c>
      <c r="B323" t="s">
        <v>774</v>
      </c>
      <c r="C323">
        <v>1000</v>
      </c>
      <c r="D323" t="s">
        <v>111</v>
      </c>
      <c r="E323">
        <v>25</v>
      </c>
      <c r="F323">
        <v>25</v>
      </c>
      <c r="G323">
        <v>12.5</v>
      </c>
      <c r="H323">
        <v>12.5</v>
      </c>
      <c r="I323">
        <v>25</v>
      </c>
      <c r="J323">
        <f t="shared" ref="J323:J386" si="10">((10*E323)/100)+((7*F323)/100)+((8*G323)/100)+((6*H323)/100)+((9*I323)/100)</f>
        <v>8.25</v>
      </c>
      <c r="K323">
        <f t="shared" ref="K323:K386" si="11">IF(ISBLANK(E323)=TRUE,0,(E323/100)*LN(E323/100))+IF(ISBLANK(F323)=TRUE,0,(F323/100)*LN(F323/100))+IF(ISBLANK(G323)=TRUE,0,(G323/100)*LN(G323/100))+IF(ISBLANK(H323)=TRUE,0,(H323/100)*LN(H323/100))+IF(ISBLANK(I323)=TRUE,0,(I323/100)*LN(I323/100))</f>
        <v>-1.5595811562598769</v>
      </c>
      <c r="L323">
        <v>30980.816589999999</v>
      </c>
      <c r="M323">
        <v>1</v>
      </c>
      <c r="R323">
        <v>42256.88076</v>
      </c>
      <c r="S323">
        <v>67996.275460000004</v>
      </c>
      <c r="Z323">
        <v>80182.033309999999</v>
      </c>
      <c r="AF323">
        <v>485985.59389999998</v>
      </c>
      <c r="AI323">
        <v>0.100724702</v>
      </c>
      <c r="AJ323">
        <v>0.70916620230000005</v>
      </c>
      <c r="AK323">
        <v>5.5308734960000001E-2</v>
      </c>
      <c r="AL323">
        <v>-0.53014279310000001</v>
      </c>
      <c r="AM323">
        <v>0.84362483050000003</v>
      </c>
      <c r="AN323">
        <v>-8.4871921990000002E-2</v>
      </c>
      <c r="AS323">
        <v>0</v>
      </c>
      <c r="AT323">
        <v>0</v>
      </c>
      <c r="BK323">
        <v>0</v>
      </c>
      <c r="BL323">
        <v>-0.660178296</v>
      </c>
      <c r="BM323">
        <v>-0.36023869980000001</v>
      </c>
      <c r="BN323">
        <v>0.51098101389999995</v>
      </c>
      <c r="CH323">
        <v>-0.69561395599999998</v>
      </c>
      <c r="CI323">
        <v>-6.5208181099999998E-3</v>
      </c>
      <c r="CK323">
        <v>0.41628247629999998</v>
      </c>
      <c r="CT323">
        <v>-0.58548065739999999</v>
      </c>
      <c r="CU323">
        <v>0</v>
      </c>
      <c r="CV323">
        <v>-0.52920146260000001</v>
      </c>
      <c r="CW323">
        <v>-0.38520092519999999</v>
      </c>
      <c r="CX323">
        <v>-0.47830791230000003</v>
      </c>
    </row>
    <row r="324" spans="1:102" x14ac:dyDescent="0.25">
      <c r="A324" t="s">
        <v>775</v>
      </c>
      <c r="B324" t="s">
        <v>776</v>
      </c>
      <c r="C324">
        <v>1000</v>
      </c>
      <c r="D324" t="s">
        <v>111</v>
      </c>
      <c r="E324">
        <v>12.5</v>
      </c>
      <c r="F324">
        <v>37.5</v>
      </c>
      <c r="G324">
        <v>12.5</v>
      </c>
      <c r="H324">
        <v>12.5</v>
      </c>
      <c r="I324">
        <v>25</v>
      </c>
      <c r="J324">
        <f t="shared" si="10"/>
        <v>7.875</v>
      </c>
      <c r="K324">
        <f t="shared" si="11"/>
        <v>-1.4941751382893085</v>
      </c>
      <c r="L324">
        <v>31682.10943</v>
      </c>
      <c r="M324">
        <v>1</v>
      </c>
      <c r="R324">
        <v>51729.442710000003</v>
      </c>
      <c r="S324">
        <v>58808.561860000002</v>
      </c>
      <c r="Z324">
        <v>96087.056530000002</v>
      </c>
      <c r="AF324">
        <v>471025.56219999999</v>
      </c>
      <c r="AI324">
        <v>0.75196412079999997</v>
      </c>
      <c r="AJ324">
        <v>0.24983214340000001</v>
      </c>
      <c r="AK324">
        <v>-0.14827578490000001</v>
      </c>
      <c r="AL324">
        <v>0.58903536550000002</v>
      </c>
      <c r="AM324">
        <v>-0.4471615665</v>
      </c>
      <c r="AN324">
        <v>0.38070806930000001</v>
      </c>
      <c r="AS324">
        <v>0</v>
      </c>
      <c r="AT324">
        <v>0</v>
      </c>
      <c r="BK324">
        <v>0</v>
      </c>
      <c r="BL324">
        <v>0.589156338</v>
      </c>
      <c r="BM324">
        <v>0.2768825117</v>
      </c>
      <c r="BN324">
        <v>-0.75068391450000005</v>
      </c>
      <c r="CH324">
        <v>-0.59173317700000005</v>
      </c>
      <c r="CI324">
        <v>-0.55510831159999996</v>
      </c>
      <c r="CK324">
        <v>-0.112714438</v>
      </c>
      <c r="CT324">
        <v>0.57358700439999999</v>
      </c>
      <c r="CU324">
        <v>0</v>
      </c>
      <c r="CV324">
        <v>0.53286625239999996</v>
      </c>
      <c r="CW324">
        <v>0.39740732210000002</v>
      </c>
      <c r="CX324">
        <v>0.47866368770000001</v>
      </c>
    </row>
    <row r="325" spans="1:102" x14ac:dyDescent="0.25">
      <c r="A325" t="s">
        <v>777</v>
      </c>
      <c r="B325" t="s">
        <v>778</v>
      </c>
      <c r="C325">
        <v>1000</v>
      </c>
      <c r="D325" t="s">
        <v>111</v>
      </c>
      <c r="F325">
        <v>50</v>
      </c>
      <c r="G325">
        <v>12.5</v>
      </c>
      <c r="H325">
        <v>12.5</v>
      </c>
      <c r="I325">
        <v>25</v>
      </c>
      <c r="J325">
        <f t="shared" si="10"/>
        <v>7.5</v>
      </c>
      <c r="K325">
        <f t="shared" si="11"/>
        <v>-1.2130075659799042</v>
      </c>
      <c r="L325">
        <v>32658.01686</v>
      </c>
      <c r="M325">
        <v>1</v>
      </c>
      <c r="R325">
        <v>46038.831480000001</v>
      </c>
      <c r="S325">
        <v>67218.989709999994</v>
      </c>
      <c r="Z325">
        <v>379516.17430000001</v>
      </c>
      <c r="AI325">
        <v>-0.87741751629999998</v>
      </c>
      <c r="AK325">
        <v>0.39345732680000001</v>
      </c>
      <c r="AL325">
        <v>-0.67147314160000005</v>
      </c>
      <c r="AM325">
        <v>-7.0359635850000005E-2</v>
      </c>
      <c r="AS325">
        <v>0</v>
      </c>
      <c r="AT325">
        <v>0</v>
      </c>
      <c r="BK325">
        <v>0</v>
      </c>
      <c r="BL325">
        <v>-0.62794280489999998</v>
      </c>
      <c r="BM325">
        <v>-0.47454108369999998</v>
      </c>
      <c r="CH325">
        <v>0.27446281</v>
      </c>
      <c r="CI325">
        <v>0.73768105699999997</v>
      </c>
      <c r="CK325">
        <v>-0.6168456806</v>
      </c>
    </row>
    <row r="326" spans="1:102" x14ac:dyDescent="0.25">
      <c r="A326" t="s">
        <v>779</v>
      </c>
      <c r="B326" t="s">
        <v>780</v>
      </c>
      <c r="C326">
        <v>1000</v>
      </c>
      <c r="D326" t="s">
        <v>111</v>
      </c>
      <c r="E326">
        <v>37.5</v>
      </c>
      <c r="G326">
        <v>25</v>
      </c>
      <c r="H326">
        <v>12.5</v>
      </c>
      <c r="I326">
        <v>25</v>
      </c>
      <c r="J326">
        <f t="shared" si="10"/>
        <v>8.75</v>
      </c>
      <c r="K326">
        <f t="shared" si="11"/>
        <v>-1.3208883431493221</v>
      </c>
      <c r="L326">
        <v>33543.465810000002</v>
      </c>
      <c r="M326">
        <v>1</v>
      </c>
      <c r="R326">
        <v>32417.510470000001</v>
      </c>
      <c r="S326">
        <v>47176.946470000003</v>
      </c>
      <c r="Z326">
        <v>449309.81520000001</v>
      </c>
      <c r="AJ326">
        <v>0.81099692209999996</v>
      </c>
      <c r="AK326">
        <v>-0.2666671357</v>
      </c>
      <c r="AL326">
        <v>0.81642450799999999</v>
      </c>
      <c r="AN326">
        <v>-9.7056352590000006E-2</v>
      </c>
      <c r="AS326">
        <v>0</v>
      </c>
      <c r="AT326">
        <v>0</v>
      </c>
      <c r="BK326">
        <v>0</v>
      </c>
      <c r="BL326">
        <v>0.51219104530000004</v>
      </c>
      <c r="BN326">
        <v>0.57694372199999999</v>
      </c>
      <c r="CH326">
        <v>-0.5207423846</v>
      </c>
      <c r="CI326">
        <v>-0.56923728539999996</v>
      </c>
      <c r="CK326">
        <v>0.6362360212</v>
      </c>
    </row>
    <row r="327" spans="1:102" x14ac:dyDescent="0.25">
      <c r="A327" t="s">
        <v>781</v>
      </c>
      <c r="B327" t="s">
        <v>782</v>
      </c>
      <c r="C327">
        <v>1000</v>
      </c>
      <c r="D327" t="s">
        <v>111</v>
      </c>
      <c r="E327">
        <v>25</v>
      </c>
      <c r="F327">
        <v>12.5</v>
      </c>
      <c r="G327">
        <v>25</v>
      </c>
      <c r="H327">
        <v>12.5</v>
      </c>
      <c r="I327">
        <v>25</v>
      </c>
      <c r="J327">
        <f t="shared" si="10"/>
        <v>8.375</v>
      </c>
      <c r="K327">
        <f t="shared" si="11"/>
        <v>-1.5595811562598769</v>
      </c>
      <c r="L327">
        <v>32703.476350000001</v>
      </c>
      <c r="M327">
        <v>1</v>
      </c>
      <c r="R327">
        <v>40996.885820000003</v>
      </c>
      <c r="S327">
        <v>44926.702069999999</v>
      </c>
      <c r="Z327">
        <v>109320.56819999999</v>
      </c>
      <c r="AF327">
        <v>502907.6544</v>
      </c>
      <c r="AI327">
        <v>0.1187319444</v>
      </c>
      <c r="AJ327">
        <v>0.779758744</v>
      </c>
      <c r="AK327">
        <v>-0.24022334300000001</v>
      </c>
      <c r="AL327">
        <v>-0.83960226579999997</v>
      </c>
      <c r="AM327">
        <v>0.1665061078</v>
      </c>
      <c r="AN327">
        <v>8.5967592809999993E-2</v>
      </c>
      <c r="AS327">
        <v>0</v>
      </c>
      <c r="AT327">
        <v>0</v>
      </c>
      <c r="BK327">
        <v>0</v>
      </c>
      <c r="BL327">
        <v>4.4479758090000002E-2</v>
      </c>
      <c r="BM327">
        <v>-0.88050176999999996</v>
      </c>
      <c r="BN327">
        <v>0.36493759599999998</v>
      </c>
      <c r="CH327">
        <v>-0.56583723100000005</v>
      </c>
      <c r="CI327">
        <v>0.50985617999999999</v>
      </c>
      <c r="CK327">
        <v>0.29926365490000001</v>
      </c>
      <c r="CT327">
        <v>-0.57473137249999995</v>
      </c>
      <c r="CU327">
        <v>0</v>
      </c>
      <c r="CV327">
        <v>-0.48516218379999998</v>
      </c>
      <c r="CW327">
        <v>-0.42766233710000001</v>
      </c>
      <c r="CX327">
        <v>-0.50140445779999998</v>
      </c>
    </row>
    <row r="328" spans="1:102" x14ac:dyDescent="0.25">
      <c r="A328" t="s">
        <v>783</v>
      </c>
      <c r="B328" t="s">
        <v>784</v>
      </c>
      <c r="C328">
        <v>1000</v>
      </c>
      <c r="D328" t="s">
        <v>111</v>
      </c>
      <c r="E328">
        <v>12.5</v>
      </c>
      <c r="F328">
        <v>25</v>
      </c>
      <c r="G328">
        <v>25</v>
      </c>
      <c r="H328">
        <v>12.5</v>
      </c>
      <c r="I328">
        <v>25</v>
      </c>
      <c r="J328">
        <f t="shared" si="10"/>
        <v>8</v>
      </c>
      <c r="K328">
        <f t="shared" si="11"/>
        <v>-1.5595811562598769</v>
      </c>
      <c r="L328">
        <v>32889.921730000002</v>
      </c>
      <c r="M328">
        <v>1</v>
      </c>
      <c r="R328">
        <v>40476.567880000002</v>
      </c>
      <c r="S328">
        <v>55400.947650000002</v>
      </c>
      <c r="Z328">
        <v>92176.867960000003</v>
      </c>
      <c r="AF328">
        <v>483018.68420000002</v>
      </c>
      <c r="AI328">
        <v>0.42195466339999999</v>
      </c>
      <c r="AJ328">
        <v>5.6710758999999999E-2</v>
      </c>
      <c r="AK328">
        <v>-0.83067002430000003</v>
      </c>
      <c r="AL328">
        <v>3.8291904299999999E-2</v>
      </c>
      <c r="AM328">
        <v>-0.49110344950000001</v>
      </c>
      <c r="AN328">
        <v>-0.4597599557</v>
      </c>
      <c r="AS328">
        <v>0</v>
      </c>
      <c r="AT328">
        <v>0</v>
      </c>
      <c r="BK328">
        <v>0</v>
      </c>
      <c r="BL328">
        <v>0.25782310650000001</v>
      </c>
      <c r="BM328">
        <v>0.63848950959999995</v>
      </c>
      <c r="BN328">
        <v>-0.72408244649999998</v>
      </c>
      <c r="CH328">
        <v>0.35878330870000003</v>
      </c>
      <c r="CI328">
        <v>0.7388991238</v>
      </c>
      <c r="CK328">
        <v>-3.9534826939999997E-2</v>
      </c>
      <c r="CT328">
        <v>0.56898121489999998</v>
      </c>
      <c r="CU328">
        <v>0</v>
      </c>
      <c r="CV328">
        <v>0.49198403159999998</v>
      </c>
      <c r="CW328">
        <v>0.41605625149999997</v>
      </c>
      <c r="CX328">
        <v>0.51098853740000005</v>
      </c>
    </row>
    <row r="329" spans="1:102" x14ac:dyDescent="0.25">
      <c r="A329" t="s">
        <v>785</v>
      </c>
      <c r="B329" t="s">
        <v>786</v>
      </c>
      <c r="C329">
        <v>1000</v>
      </c>
      <c r="D329" t="s">
        <v>111</v>
      </c>
      <c r="F329">
        <v>37.5</v>
      </c>
      <c r="G329">
        <v>25</v>
      </c>
      <c r="H329">
        <v>12.5</v>
      </c>
      <c r="I329">
        <v>25</v>
      </c>
      <c r="J329">
        <f t="shared" si="10"/>
        <v>7.625</v>
      </c>
      <c r="K329">
        <f t="shared" si="11"/>
        <v>-1.3208883431493221</v>
      </c>
      <c r="L329">
        <v>33631.815199999997</v>
      </c>
      <c r="M329">
        <v>1</v>
      </c>
      <c r="R329">
        <v>34083.608990000001</v>
      </c>
      <c r="S329">
        <v>58894.497490000002</v>
      </c>
      <c r="Z329">
        <v>373524.08049999998</v>
      </c>
      <c r="AI329">
        <v>0.59591423119999998</v>
      </c>
      <c r="AK329">
        <v>-0.7717540088</v>
      </c>
      <c r="AL329">
        <v>0.2631469461</v>
      </c>
      <c r="AM329">
        <v>0.61706602369999997</v>
      </c>
      <c r="AS329">
        <v>0</v>
      </c>
      <c r="AT329">
        <v>0</v>
      </c>
      <c r="BK329">
        <v>0</v>
      </c>
      <c r="BL329">
        <v>0.57892092500000003</v>
      </c>
      <c r="BM329">
        <v>0.513921929</v>
      </c>
      <c r="CH329">
        <v>0.22199544809999999</v>
      </c>
      <c r="CI329">
        <v>-0.74160852690000001</v>
      </c>
      <c r="CK329">
        <v>0.63303618660000005</v>
      </c>
    </row>
    <row r="330" spans="1:102" x14ac:dyDescent="0.25">
      <c r="A330" t="s">
        <v>787</v>
      </c>
      <c r="B330" t="s">
        <v>788</v>
      </c>
      <c r="C330">
        <v>1000</v>
      </c>
      <c r="D330" t="s">
        <v>111</v>
      </c>
      <c r="E330">
        <v>25</v>
      </c>
      <c r="G330">
        <v>37.5</v>
      </c>
      <c r="H330">
        <v>12.5</v>
      </c>
      <c r="I330">
        <v>25</v>
      </c>
      <c r="J330">
        <f t="shared" si="10"/>
        <v>8.5</v>
      </c>
      <c r="K330">
        <f t="shared" si="11"/>
        <v>-1.3208883431493221</v>
      </c>
      <c r="L330">
        <v>34863.632599999997</v>
      </c>
      <c r="M330">
        <v>1</v>
      </c>
      <c r="R330">
        <v>34054.595110000002</v>
      </c>
      <c r="S330">
        <v>41951.553480000002</v>
      </c>
      <c r="Z330">
        <v>441919.94679999998</v>
      </c>
      <c r="AJ330">
        <v>-0.69011426990000002</v>
      </c>
      <c r="AK330">
        <v>0.72111911549999996</v>
      </c>
      <c r="AL330">
        <v>-0.46784298260000001</v>
      </c>
      <c r="AN330">
        <v>-0.42006073269999999</v>
      </c>
      <c r="AS330">
        <v>0</v>
      </c>
      <c r="AT330">
        <v>0</v>
      </c>
      <c r="BK330">
        <v>0</v>
      </c>
      <c r="BL330">
        <v>-0.5109837532</v>
      </c>
      <c r="BN330">
        <v>-0.58931830429999998</v>
      </c>
      <c r="CH330">
        <v>6.1069761090000001E-2</v>
      </c>
      <c r="CI330">
        <v>0.77760653580000005</v>
      </c>
      <c r="CK330">
        <v>-0.62577914649999999</v>
      </c>
    </row>
    <row r="331" spans="1:102" x14ac:dyDescent="0.25">
      <c r="A331" t="s">
        <v>789</v>
      </c>
      <c r="B331" t="s">
        <v>790</v>
      </c>
      <c r="C331">
        <v>1000</v>
      </c>
      <c r="D331" t="s">
        <v>111</v>
      </c>
      <c r="E331">
        <v>12.5</v>
      </c>
      <c r="F331">
        <v>12.5</v>
      </c>
      <c r="G331">
        <v>37.5</v>
      </c>
      <c r="H331">
        <v>12.5</v>
      </c>
      <c r="I331">
        <v>25</v>
      </c>
      <c r="J331">
        <f t="shared" si="10"/>
        <v>8.125</v>
      </c>
      <c r="K331">
        <f t="shared" si="11"/>
        <v>-1.4941751382893085</v>
      </c>
      <c r="L331">
        <v>34331.753109999998</v>
      </c>
      <c r="M331">
        <v>1</v>
      </c>
      <c r="R331">
        <v>34490.438199999997</v>
      </c>
      <c r="S331">
        <v>58164.842340000003</v>
      </c>
      <c r="Z331">
        <v>119247.9172</v>
      </c>
      <c r="AF331">
        <v>509080.21389999997</v>
      </c>
      <c r="AI331">
        <v>-0.24378625670000001</v>
      </c>
      <c r="AJ331">
        <v>-0.16869115400000001</v>
      </c>
      <c r="AK331">
        <v>0.87063061850000001</v>
      </c>
      <c r="AL331">
        <v>0.1248725524</v>
      </c>
      <c r="AM331">
        <v>-0.27385659600000001</v>
      </c>
      <c r="AN331">
        <v>-0.62862010469999996</v>
      </c>
      <c r="AS331">
        <v>0</v>
      </c>
      <c r="AT331">
        <v>0</v>
      </c>
      <c r="BK331">
        <v>0</v>
      </c>
      <c r="BL331">
        <v>3.9979803760000002E-2</v>
      </c>
      <c r="BM331">
        <v>0.81365139949999998</v>
      </c>
      <c r="BN331">
        <v>-0.55145385800000002</v>
      </c>
      <c r="CH331">
        <v>-0.39257340930000001</v>
      </c>
      <c r="CI331">
        <v>0.7171095972</v>
      </c>
      <c r="CK331">
        <v>-0.1796431402</v>
      </c>
      <c r="CT331">
        <v>-0.54714315759999999</v>
      </c>
      <c r="CU331">
        <v>0</v>
      </c>
      <c r="CV331">
        <v>-0.47414247469999998</v>
      </c>
      <c r="CW331">
        <v>-0.45115808709999999</v>
      </c>
      <c r="CX331">
        <v>-0.52180423450000002</v>
      </c>
    </row>
    <row r="332" spans="1:102" x14ac:dyDescent="0.25">
      <c r="A332" t="s">
        <v>791</v>
      </c>
      <c r="B332" t="s">
        <v>792</v>
      </c>
      <c r="C332">
        <v>1000</v>
      </c>
      <c r="D332" t="s">
        <v>111</v>
      </c>
      <c r="F332">
        <v>25</v>
      </c>
      <c r="G332">
        <v>37.5</v>
      </c>
      <c r="H332">
        <v>12.5</v>
      </c>
      <c r="I332">
        <v>25</v>
      </c>
      <c r="J332">
        <f t="shared" si="10"/>
        <v>7.75</v>
      </c>
      <c r="K332">
        <f t="shared" si="11"/>
        <v>-1.3208883431493221</v>
      </c>
      <c r="L332">
        <v>34633.27291</v>
      </c>
      <c r="M332">
        <v>1</v>
      </c>
      <c r="R332">
        <v>29582.32562</v>
      </c>
      <c r="S332">
        <v>65225.300790000001</v>
      </c>
      <c r="Z332">
        <v>380668.57610000001</v>
      </c>
      <c r="AI332">
        <v>-0.44568493660000003</v>
      </c>
      <c r="AK332">
        <v>0.82348240409999995</v>
      </c>
      <c r="AL332">
        <v>8.5722691879999993E-2</v>
      </c>
      <c r="AM332">
        <v>0.70941582859999996</v>
      </c>
      <c r="AS332">
        <v>0</v>
      </c>
      <c r="AT332">
        <v>0</v>
      </c>
      <c r="BK332">
        <v>0</v>
      </c>
      <c r="BL332">
        <v>0.5608277706</v>
      </c>
      <c r="BM332">
        <v>0.54597994179999998</v>
      </c>
      <c r="CH332">
        <v>-0.35105792600000002</v>
      </c>
      <c r="CI332">
        <v>-0.69955757610000002</v>
      </c>
      <c r="CK332">
        <v>0.62239707170000003</v>
      </c>
    </row>
    <row r="333" spans="1:102" x14ac:dyDescent="0.25">
      <c r="A333" t="s">
        <v>793</v>
      </c>
      <c r="B333" t="s">
        <v>794</v>
      </c>
      <c r="C333">
        <v>1000</v>
      </c>
      <c r="D333" t="s">
        <v>111</v>
      </c>
      <c r="E333">
        <v>12.5</v>
      </c>
      <c r="G333">
        <v>50</v>
      </c>
      <c r="H333">
        <v>12.5</v>
      </c>
      <c r="I333">
        <v>25</v>
      </c>
      <c r="J333">
        <f t="shared" si="10"/>
        <v>8.25</v>
      </c>
      <c r="K333">
        <f t="shared" si="11"/>
        <v>-1.2130075659799042</v>
      </c>
      <c r="L333">
        <v>36012.491710000002</v>
      </c>
      <c r="M333">
        <v>1</v>
      </c>
      <c r="R333">
        <v>35324.174599999998</v>
      </c>
      <c r="S333">
        <v>60163.368399999999</v>
      </c>
      <c r="Z333">
        <v>445665.03330000001</v>
      </c>
      <c r="AJ333">
        <v>0.2096476196</v>
      </c>
      <c r="AK333">
        <v>-0.84552773729999997</v>
      </c>
      <c r="AL333">
        <v>-0.18374205869999999</v>
      </c>
      <c r="AN333">
        <v>0.74926293180000003</v>
      </c>
      <c r="AS333">
        <v>0</v>
      </c>
      <c r="AT333">
        <v>0</v>
      </c>
      <c r="BK333">
        <v>0</v>
      </c>
      <c r="BL333">
        <v>-0.50131890310000005</v>
      </c>
      <c r="BN333">
        <v>-0.62821360429999995</v>
      </c>
      <c r="CH333">
        <v>0.49105062980000003</v>
      </c>
      <c r="CI333">
        <v>-0.6362734592</v>
      </c>
      <c r="CK333">
        <v>-0.59500170149999998</v>
      </c>
    </row>
    <row r="334" spans="1:102" x14ac:dyDescent="0.25">
      <c r="A334" t="s">
        <v>795</v>
      </c>
      <c r="B334" t="s">
        <v>796</v>
      </c>
      <c r="C334">
        <v>1000</v>
      </c>
      <c r="D334" t="s">
        <v>111</v>
      </c>
      <c r="F334">
        <v>12.5</v>
      </c>
      <c r="G334">
        <v>50</v>
      </c>
      <c r="H334">
        <v>12.5</v>
      </c>
      <c r="I334">
        <v>25</v>
      </c>
      <c r="J334">
        <f t="shared" si="10"/>
        <v>7.875</v>
      </c>
      <c r="K334">
        <f t="shared" si="11"/>
        <v>-1.2130075659799042</v>
      </c>
      <c r="L334">
        <v>35669.260739999998</v>
      </c>
      <c r="M334">
        <v>1</v>
      </c>
      <c r="R334">
        <v>31001.28269</v>
      </c>
      <c r="S334">
        <v>87995.002210000006</v>
      </c>
      <c r="Z334">
        <v>400696.59350000002</v>
      </c>
      <c r="AI334">
        <v>0.26579055350000003</v>
      </c>
      <c r="AK334">
        <v>-0.83320374289999999</v>
      </c>
      <c r="AL334">
        <v>-0.13864426999999999</v>
      </c>
      <c r="AM334">
        <v>0.74847901179999998</v>
      </c>
      <c r="AS334">
        <v>0</v>
      </c>
      <c r="AT334">
        <v>0</v>
      </c>
      <c r="BK334">
        <v>0</v>
      </c>
      <c r="BL334">
        <v>0.53530257160000005</v>
      </c>
      <c r="BM334">
        <v>0.60756408640000004</v>
      </c>
      <c r="CH334">
        <v>0.48489885999999999</v>
      </c>
      <c r="CI334">
        <v>-0.64850361239999998</v>
      </c>
      <c r="CK334">
        <v>0.5867853421</v>
      </c>
    </row>
    <row r="335" spans="1:102" x14ac:dyDescent="0.25">
      <c r="A335" t="s">
        <v>797</v>
      </c>
      <c r="B335" t="s">
        <v>798</v>
      </c>
      <c r="C335">
        <v>1000</v>
      </c>
      <c r="D335" t="s">
        <v>111</v>
      </c>
      <c r="G335">
        <v>62.5</v>
      </c>
      <c r="H335">
        <v>12.5</v>
      </c>
      <c r="I335">
        <v>25</v>
      </c>
      <c r="J335">
        <f t="shared" si="10"/>
        <v>8</v>
      </c>
      <c r="K335">
        <f t="shared" si="11"/>
        <v>-0.90025605126853692</v>
      </c>
      <c r="L335">
        <v>36746.177029999999</v>
      </c>
      <c r="M335">
        <v>1</v>
      </c>
      <c r="R335">
        <v>36103.973839999999</v>
      </c>
      <c r="S335">
        <v>283951.11060000001</v>
      </c>
      <c r="AK335">
        <v>-0.76576154139999997</v>
      </c>
      <c r="AL335">
        <v>-0.64312432220000004</v>
      </c>
      <c r="AS335">
        <v>0</v>
      </c>
      <c r="AT335">
        <v>0</v>
      </c>
      <c r="CH335">
        <v>0.64312460819999995</v>
      </c>
      <c r="CI335">
        <v>-0.76576178159999997</v>
      </c>
    </row>
    <row r="336" spans="1:102" x14ac:dyDescent="0.25">
      <c r="A336" t="s">
        <v>799</v>
      </c>
      <c r="B336" t="s">
        <v>800</v>
      </c>
      <c r="C336">
        <v>1000</v>
      </c>
      <c r="D336" t="s">
        <v>111</v>
      </c>
      <c r="E336">
        <v>50</v>
      </c>
      <c r="H336">
        <v>25</v>
      </c>
      <c r="I336">
        <v>25</v>
      </c>
      <c r="J336">
        <f t="shared" si="10"/>
        <v>8.75</v>
      </c>
      <c r="K336">
        <f t="shared" si="11"/>
        <v>-1.0397207708399179</v>
      </c>
      <c r="L336">
        <v>32258.870719999999</v>
      </c>
      <c r="M336">
        <v>1</v>
      </c>
      <c r="R336">
        <v>37622.664169999996</v>
      </c>
      <c r="S336">
        <v>255270.52230000001</v>
      </c>
      <c r="AJ336">
        <v>0.77403595510000001</v>
      </c>
      <c r="AN336">
        <v>0.63314045760000004</v>
      </c>
      <c r="AS336">
        <v>0</v>
      </c>
      <c r="AT336">
        <v>0</v>
      </c>
      <c r="CH336">
        <v>-0.63314164309999998</v>
      </c>
      <c r="CI336">
        <v>0.77403692479999997</v>
      </c>
    </row>
    <row r="337" spans="1:102" x14ac:dyDescent="0.25">
      <c r="A337" t="s">
        <v>801</v>
      </c>
      <c r="B337" t="s">
        <v>802</v>
      </c>
      <c r="C337">
        <v>1000</v>
      </c>
      <c r="D337" t="s">
        <v>111</v>
      </c>
      <c r="E337">
        <v>37.5</v>
      </c>
      <c r="F337">
        <v>12.5</v>
      </c>
      <c r="H337">
        <v>25</v>
      </c>
      <c r="I337">
        <v>25</v>
      </c>
      <c r="J337">
        <f t="shared" si="10"/>
        <v>8.375</v>
      </c>
      <c r="K337">
        <f t="shared" si="11"/>
        <v>-1.3208883431493221</v>
      </c>
      <c r="L337">
        <v>31049.570790000002</v>
      </c>
      <c r="M337">
        <v>1</v>
      </c>
      <c r="R337">
        <v>40448.008020000001</v>
      </c>
      <c r="S337">
        <v>100793.7111</v>
      </c>
      <c r="Z337">
        <v>248234.9676</v>
      </c>
      <c r="AI337">
        <v>-8.4628545669999999E-2</v>
      </c>
      <c r="AJ337">
        <v>0.8064385959</v>
      </c>
      <c r="AM337">
        <v>0.92380784279999995</v>
      </c>
      <c r="AN337">
        <v>-0.15659058910000001</v>
      </c>
      <c r="AS337">
        <v>0</v>
      </c>
      <c r="AT337">
        <v>0</v>
      </c>
      <c r="BK337">
        <v>0</v>
      </c>
      <c r="BM337">
        <v>-0.37338596489999998</v>
      </c>
      <c r="BN337">
        <v>-0.570207138</v>
      </c>
      <c r="CH337">
        <v>-0.58523055319999995</v>
      </c>
      <c r="CI337">
        <v>-0.34936865480000001</v>
      </c>
      <c r="CK337">
        <v>-0.73174226399999998</v>
      </c>
    </row>
    <row r="338" spans="1:102" x14ac:dyDescent="0.25">
      <c r="A338" t="s">
        <v>803</v>
      </c>
      <c r="B338" t="s">
        <v>804</v>
      </c>
      <c r="C338">
        <v>1000</v>
      </c>
      <c r="D338" t="s">
        <v>111</v>
      </c>
      <c r="E338">
        <v>25</v>
      </c>
      <c r="F338">
        <v>25</v>
      </c>
      <c r="H338">
        <v>25</v>
      </c>
      <c r="I338">
        <v>25</v>
      </c>
      <c r="J338">
        <f t="shared" si="10"/>
        <v>8</v>
      </c>
      <c r="K338">
        <f t="shared" si="11"/>
        <v>-1.3862943611198906</v>
      </c>
      <c r="L338">
        <v>30740.319339999998</v>
      </c>
      <c r="M338">
        <v>1</v>
      </c>
      <c r="R338">
        <v>47323.15582</v>
      </c>
      <c r="S338">
        <v>65374.481</v>
      </c>
      <c r="Z338">
        <v>223229.94130000001</v>
      </c>
      <c r="AI338">
        <v>-0.11328197180000001</v>
      </c>
      <c r="AJ338">
        <v>0.82708721679999997</v>
      </c>
      <c r="AM338">
        <v>-0.93110799560000002</v>
      </c>
      <c r="AN338">
        <v>0.1049833701</v>
      </c>
      <c r="AS338">
        <v>0</v>
      </c>
      <c r="AT338">
        <v>0</v>
      </c>
      <c r="BK338">
        <v>0</v>
      </c>
      <c r="BM338">
        <v>-0.34670606310000002</v>
      </c>
      <c r="BN338">
        <v>-0.55218224319999998</v>
      </c>
      <c r="CH338">
        <v>-0.5505396722</v>
      </c>
      <c r="CI338">
        <v>0.34930844900000002</v>
      </c>
      <c r="CK338">
        <v>-0.75821479550000004</v>
      </c>
    </row>
    <row r="339" spans="1:102" x14ac:dyDescent="0.25">
      <c r="A339" t="s">
        <v>805</v>
      </c>
      <c r="B339" t="s">
        <v>806</v>
      </c>
      <c r="C339">
        <v>1000</v>
      </c>
      <c r="D339" t="s">
        <v>215</v>
      </c>
      <c r="E339">
        <v>12.5</v>
      </c>
      <c r="F339">
        <v>37.5</v>
      </c>
      <c r="H339">
        <v>25</v>
      </c>
      <c r="I339">
        <v>25</v>
      </c>
      <c r="J339">
        <f t="shared" si="10"/>
        <v>7.625</v>
      </c>
      <c r="K339">
        <f t="shared" si="11"/>
        <v>-1.3208883431493221</v>
      </c>
      <c r="L339">
        <v>30267.397870000001</v>
      </c>
      <c r="M339">
        <v>0.77513291169999998</v>
      </c>
      <c r="P339">
        <v>0.22486708829999999</v>
      </c>
      <c r="R339">
        <v>54164.609620000003</v>
      </c>
      <c r="S339">
        <v>66339.103300000002</v>
      </c>
      <c r="W339">
        <v>63610.786390000001</v>
      </c>
      <c r="X339">
        <v>112232.5506</v>
      </c>
      <c r="Z339">
        <v>232667.96239999999</v>
      </c>
      <c r="AA339">
        <v>316320.51770000003</v>
      </c>
      <c r="AI339">
        <v>-0.83109540719999997</v>
      </c>
      <c r="AJ339">
        <v>-0.13562649199999999</v>
      </c>
      <c r="AM339">
        <v>0.4099127924</v>
      </c>
      <c r="AN339">
        <v>-0.80476261640000002</v>
      </c>
      <c r="AS339">
        <v>0</v>
      </c>
      <c r="AT339">
        <v>0</v>
      </c>
      <c r="AZ339">
        <v>0</v>
      </c>
      <c r="BA339">
        <v>0.93104686859999997</v>
      </c>
      <c r="BB339">
        <v>-3.1690114679999999E-2</v>
      </c>
      <c r="BC339">
        <v>0</v>
      </c>
      <c r="BD339">
        <v>-0.27867546380000002</v>
      </c>
      <c r="BE339">
        <v>0.58137547720000005</v>
      </c>
      <c r="BK339">
        <v>0</v>
      </c>
      <c r="BM339">
        <v>0.37581168180000002</v>
      </c>
      <c r="BN339">
        <v>0.57789908379999999</v>
      </c>
      <c r="BQ339">
        <v>0</v>
      </c>
      <c r="BS339">
        <v>-0.23556680420000001</v>
      </c>
      <c r="BT339">
        <v>-0.81301803039999998</v>
      </c>
      <c r="CH339">
        <v>0.53933837129999995</v>
      </c>
      <c r="CI339">
        <v>0.42933510679999998</v>
      </c>
      <c r="CK339">
        <v>0.72442958859999995</v>
      </c>
      <c r="CQ339">
        <v>-0.36352092800000002</v>
      </c>
      <c r="CR339">
        <v>-0.76442301140000002</v>
      </c>
      <c r="CS339">
        <v>-0.53245653630000001</v>
      </c>
    </row>
    <row r="340" spans="1:102" x14ac:dyDescent="0.25">
      <c r="A340" t="s">
        <v>807</v>
      </c>
      <c r="B340" t="s">
        <v>808</v>
      </c>
      <c r="C340">
        <v>1000</v>
      </c>
      <c r="D340" t="s">
        <v>557</v>
      </c>
      <c r="F340">
        <v>50</v>
      </c>
      <c r="H340">
        <v>25</v>
      </c>
      <c r="I340">
        <v>25</v>
      </c>
      <c r="J340">
        <f t="shared" si="10"/>
        <v>7.25</v>
      </c>
      <c r="K340">
        <f t="shared" si="11"/>
        <v>-1.0397207708399179</v>
      </c>
      <c r="L340">
        <v>28949.084940000001</v>
      </c>
      <c r="N340">
        <v>0.24215776529999999</v>
      </c>
      <c r="P340">
        <v>0.75784223470000001</v>
      </c>
      <c r="T340">
        <v>61619.04221</v>
      </c>
      <c r="W340">
        <v>58245.71991</v>
      </c>
      <c r="X340">
        <v>216544.47099999999</v>
      </c>
      <c r="Y340">
        <v>261092.70430000001</v>
      </c>
      <c r="AP340">
        <v>-0.78203871970000005</v>
      </c>
      <c r="AZ340">
        <v>0</v>
      </c>
      <c r="BA340">
        <v>-0.88232148389999998</v>
      </c>
      <c r="BC340">
        <v>0</v>
      </c>
      <c r="BD340">
        <v>-0.47064722180000002</v>
      </c>
      <c r="BF340">
        <v>0</v>
      </c>
      <c r="BH340">
        <v>0</v>
      </c>
      <c r="BI340">
        <v>-0.62322984640000001</v>
      </c>
      <c r="CJ340">
        <v>0.62322984589999997</v>
      </c>
      <c r="CL340">
        <v>-0.78203871930000002</v>
      </c>
      <c r="CQ340">
        <v>0.47064721279999999</v>
      </c>
      <c r="CR340">
        <v>-0.88232147920000004</v>
      </c>
    </row>
    <row r="341" spans="1:102" x14ac:dyDescent="0.25">
      <c r="A341" t="s">
        <v>809</v>
      </c>
      <c r="B341" t="s">
        <v>810</v>
      </c>
      <c r="C341">
        <v>1000</v>
      </c>
      <c r="D341" t="s">
        <v>111</v>
      </c>
      <c r="E341">
        <v>37.5</v>
      </c>
      <c r="G341">
        <v>12.5</v>
      </c>
      <c r="H341">
        <v>25</v>
      </c>
      <c r="I341">
        <v>25</v>
      </c>
      <c r="J341">
        <f t="shared" si="10"/>
        <v>8.5</v>
      </c>
      <c r="K341">
        <f t="shared" si="11"/>
        <v>-1.3208883431493221</v>
      </c>
      <c r="L341">
        <v>34169.994570000003</v>
      </c>
      <c r="M341">
        <v>1</v>
      </c>
      <c r="R341">
        <v>38869.81796</v>
      </c>
      <c r="S341">
        <v>74718.655459999994</v>
      </c>
      <c r="Z341">
        <v>307330.40120000002</v>
      </c>
      <c r="AJ341">
        <v>0.80201760129999999</v>
      </c>
      <c r="AK341">
        <v>-0.11791342489999999</v>
      </c>
      <c r="AL341">
        <v>-0.8382501845</v>
      </c>
      <c r="AN341">
        <v>0.2357410003</v>
      </c>
      <c r="AS341">
        <v>0</v>
      </c>
      <c r="AT341">
        <v>0</v>
      </c>
      <c r="BK341">
        <v>0</v>
      </c>
      <c r="BL341">
        <v>-0.53238431060000002</v>
      </c>
      <c r="BN341">
        <v>-0.54881139769999998</v>
      </c>
      <c r="CH341">
        <v>-0.58554606249999996</v>
      </c>
      <c r="CI341">
        <v>0.49169381629999998</v>
      </c>
      <c r="CK341">
        <v>-0.64449437200000004</v>
      </c>
    </row>
    <row r="342" spans="1:102" x14ac:dyDescent="0.25">
      <c r="A342" t="s">
        <v>811</v>
      </c>
      <c r="B342" t="s">
        <v>812</v>
      </c>
      <c r="C342">
        <v>1000</v>
      </c>
      <c r="D342" t="s">
        <v>111</v>
      </c>
      <c r="E342">
        <v>25</v>
      </c>
      <c r="F342">
        <v>12.5</v>
      </c>
      <c r="G342">
        <v>12.5</v>
      </c>
      <c r="H342">
        <v>25</v>
      </c>
      <c r="I342">
        <v>25</v>
      </c>
      <c r="J342">
        <f t="shared" si="10"/>
        <v>8.125</v>
      </c>
      <c r="K342">
        <f t="shared" si="11"/>
        <v>-1.5595811562598769</v>
      </c>
      <c r="L342">
        <v>33214.536999999997</v>
      </c>
      <c r="M342">
        <v>1</v>
      </c>
      <c r="R342">
        <v>47115.751839999997</v>
      </c>
      <c r="S342">
        <v>74990.325989999998</v>
      </c>
      <c r="Z342">
        <v>104787.6847</v>
      </c>
      <c r="AF342">
        <v>306720.0502</v>
      </c>
      <c r="AI342">
        <v>-2.747259052E-2</v>
      </c>
      <c r="AJ342">
        <v>0.7896909003</v>
      </c>
      <c r="AK342">
        <v>-1.19795648E-2</v>
      </c>
      <c r="AL342">
        <v>-0.84473478680000003</v>
      </c>
      <c r="AM342">
        <v>9.3887026870000001E-2</v>
      </c>
      <c r="AN342">
        <v>0.31701311049999997</v>
      </c>
      <c r="AS342">
        <v>0</v>
      </c>
      <c r="AT342">
        <v>0</v>
      </c>
      <c r="BK342">
        <v>0</v>
      </c>
      <c r="BL342">
        <v>0.12005637449999999</v>
      </c>
      <c r="BM342">
        <v>-0.92597769829999999</v>
      </c>
      <c r="BN342">
        <v>0.1999961686</v>
      </c>
      <c r="CH342">
        <v>-0.61277241189999998</v>
      </c>
      <c r="CI342">
        <v>0.42084564149999998</v>
      </c>
      <c r="CK342">
        <v>0.29690621699999997</v>
      </c>
      <c r="CT342">
        <v>-0.59937101410000004</v>
      </c>
      <c r="CU342">
        <v>0</v>
      </c>
      <c r="CV342">
        <v>-0.52140780350000004</v>
      </c>
      <c r="CW342">
        <v>-0.36468586949999998</v>
      </c>
      <c r="CX342">
        <v>-0.48568766359999999</v>
      </c>
    </row>
    <row r="343" spans="1:102" x14ac:dyDescent="0.25">
      <c r="A343" t="s">
        <v>813</v>
      </c>
      <c r="B343" t="s">
        <v>814</v>
      </c>
      <c r="C343">
        <v>1000</v>
      </c>
      <c r="D343" t="s">
        <v>111</v>
      </c>
      <c r="E343">
        <v>12.5</v>
      </c>
      <c r="F343">
        <v>25</v>
      </c>
      <c r="G343">
        <v>12.5</v>
      </c>
      <c r="H343">
        <v>25</v>
      </c>
      <c r="I343">
        <v>25</v>
      </c>
      <c r="J343">
        <f t="shared" si="10"/>
        <v>7.75</v>
      </c>
      <c r="K343">
        <f t="shared" si="11"/>
        <v>-1.5595811562598769</v>
      </c>
      <c r="L343">
        <v>32955.256029999997</v>
      </c>
      <c r="M343">
        <v>1</v>
      </c>
      <c r="R343">
        <v>63392.015180000002</v>
      </c>
      <c r="S343">
        <v>65138.992879999998</v>
      </c>
      <c r="Z343">
        <v>90491.032800000001</v>
      </c>
      <c r="AF343">
        <v>287991.179</v>
      </c>
      <c r="AI343">
        <v>-0.50533400949999996</v>
      </c>
      <c r="AJ343">
        <v>0.3225475558</v>
      </c>
      <c r="AK343">
        <v>0.60605797650000004</v>
      </c>
      <c r="AL343">
        <v>0.1020862585</v>
      </c>
      <c r="AM343">
        <v>-0.71587035619999995</v>
      </c>
      <c r="AN343">
        <v>-0.32902580139999998</v>
      </c>
      <c r="AS343">
        <v>0</v>
      </c>
      <c r="AT343">
        <v>0</v>
      </c>
      <c r="BK343">
        <v>0</v>
      </c>
      <c r="BL343">
        <v>-0.57984550319999995</v>
      </c>
      <c r="BM343">
        <v>-0.33294864699999999</v>
      </c>
      <c r="BN343">
        <v>0.73629327870000005</v>
      </c>
      <c r="CH343">
        <v>-0.52277561370000003</v>
      </c>
      <c r="CI343">
        <v>0.6073302652</v>
      </c>
      <c r="CK343">
        <v>0.1039066818</v>
      </c>
      <c r="CT343">
        <v>-0.58911718940000002</v>
      </c>
      <c r="CU343">
        <v>0</v>
      </c>
      <c r="CV343">
        <v>-0.53483764639999998</v>
      </c>
      <c r="CW343">
        <v>-0.34829915490000002</v>
      </c>
      <c r="CX343">
        <v>-0.4955575928</v>
      </c>
    </row>
    <row r="344" spans="1:102" x14ac:dyDescent="0.25">
      <c r="A344" t="s">
        <v>815</v>
      </c>
      <c r="B344" t="s">
        <v>816</v>
      </c>
      <c r="C344">
        <v>1000</v>
      </c>
      <c r="D344" t="s">
        <v>215</v>
      </c>
      <c r="F344">
        <v>37.5</v>
      </c>
      <c r="G344">
        <v>12.5</v>
      </c>
      <c r="H344">
        <v>25</v>
      </c>
      <c r="I344">
        <v>25</v>
      </c>
      <c r="J344">
        <f t="shared" si="10"/>
        <v>7.375</v>
      </c>
      <c r="K344">
        <f t="shared" si="11"/>
        <v>-1.3208883431493221</v>
      </c>
      <c r="L344">
        <v>31870.65696</v>
      </c>
      <c r="M344">
        <v>0.27853906039999998</v>
      </c>
      <c r="P344">
        <v>0.72146093960000002</v>
      </c>
      <c r="R344">
        <v>48878.802479999998</v>
      </c>
      <c r="S344">
        <v>63165.179640000002</v>
      </c>
      <c r="W344">
        <v>52188.276230000003</v>
      </c>
      <c r="X344">
        <v>78676.644400000005</v>
      </c>
      <c r="Z344">
        <v>291269.31229999999</v>
      </c>
      <c r="AA344">
        <v>292854.4657</v>
      </c>
      <c r="AI344">
        <v>-0.83812359309999995</v>
      </c>
      <c r="AK344">
        <v>0.53648394020000001</v>
      </c>
      <c r="AL344">
        <v>0.55672660600000001</v>
      </c>
      <c r="AM344">
        <v>0.26363450729999999</v>
      </c>
      <c r="AS344">
        <v>0</v>
      </c>
      <c r="AT344">
        <v>0</v>
      </c>
      <c r="AZ344">
        <v>0</v>
      </c>
      <c r="BA344">
        <v>-0.8708338846</v>
      </c>
      <c r="BC344">
        <v>0</v>
      </c>
      <c r="BD344">
        <v>-0.2212255632</v>
      </c>
      <c r="BK344">
        <v>0</v>
      </c>
      <c r="BL344">
        <v>0.63422211230000003</v>
      </c>
      <c r="BM344">
        <v>0.47754448570000002</v>
      </c>
      <c r="BO344">
        <v>0.47107144029999998</v>
      </c>
      <c r="BP344">
        <v>-0.63078967730000002</v>
      </c>
      <c r="BQ344">
        <v>0</v>
      </c>
      <c r="BR344">
        <v>-0.61660042469999998</v>
      </c>
      <c r="BS344">
        <v>-0.43898473830000001</v>
      </c>
      <c r="CH344">
        <v>9.8660146810000002E-2</v>
      </c>
      <c r="CI344">
        <v>-0.78775144100000005</v>
      </c>
      <c r="CK344">
        <v>0.60804076870000001</v>
      </c>
      <c r="CQ344">
        <v>0.14049926579999999</v>
      </c>
      <c r="CR344">
        <v>0.74374971140000001</v>
      </c>
      <c r="CS344">
        <v>-0.65352606359999998</v>
      </c>
    </row>
    <row r="345" spans="1:102" x14ac:dyDescent="0.25">
      <c r="A345" t="s">
        <v>817</v>
      </c>
      <c r="B345" t="s">
        <v>818</v>
      </c>
      <c r="C345">
        <v>1000</v>
      </c>
      <c r="D345" t="s">
        <v>111</v>
      </c>
      <c r="E345">
        <v>25</v>
      </c>
      <c r="G345">
        <v>25</v>
      </c>
      <c r="H345">
        <v>25</v>
      </c>
      <c r="I345">
        <v>25</v>
      </c>
      <c r="J345">
        <f t="shared" si="10"/>
        <v>8.25</v>
      </c>
      <c r="K345">
        <f t="shared" si="11"/>
        <v>-1.3862943611198906</v>
      </c>
      <c r="L345">
        <v>35986.996630000001</v>
      </c>
      <c r="M345">
        <v>1</v>
      </c>
      <c r="R345">
        <v>39745.288220000002</v>
      </c>
      <c r="S345">
        <v>49412.843050000003</v>
      </c>
      <c r="Z345">
        <v>287546.1568</v>
      </c>
      <c r="AJ345">
        <v>-0.71765590570000004</v>
      </c>
      <c r="AK345">
        <v>0.68285790570000005</v>
      </c>
      <c r="AL345">
        <v>-0.54695542890000004</v>
      </c>
      <c r="AN345">
        <v>-0.37823805929999998</v>
      </c>
      <c r="AS345">
        <v>0</v>
      </c>
      <c r="AT345">
        <v>0</v>
      </c>
      <c r="BK345">
        <v>0</v>
      </c>
      <c r="BL345">
        <v>0.48428681600000001</v>
      </c>
      <c r="BN345">
        <v>0.58473407470000005</v>
      </c>
      <c r="CH345">
        <v>0.1366568028</v>
      </c>
      <c r="CI345">
        <v>0.74684384530000003</v>
      </c>
      <c r="CK345">
        <v>0.65080899020000005</v>
      </c>
    </row>
    <row r="346" spans="1:102" x14ac:dyDescent="0.25">
      <c r="A346" t="s">
        <v>819</v>
      </c>
      <c r="B346" t="s">
        <v>820</v>
      </c>
      <c r="C346">
        <v>1000</v>
      </c>
      <c r="D346" t="s">
        <v>111</v>
      </c>
      <c r="E346">
        <v>12.5</v>
      </c>
      <c r="F346">
        <v>12.5</v>
      </c>
      <c r="G346">
        <v>25</v>
      </c>
      <c r="H346">
        <v>25</v>
      </c>
      <c r="I346">
        <v>25</v>
      </c>
      <c r="J346">
        <f t="shared" si="10"/>
        <v>7.875</v>
      </c>
      <c r="K346">
        <f t="shared" si="11"/>
        <v>-1.5595811562598769</v>
      </c>
      <c r="L346">
        <v>35150.710890000002</v>
      </c>
      <c r="M346">
        <v>1</v>
      </c>
      <c r="R346">
        <v>43730.99278</v>
      </c>
      <c r="S346">
        <v>68300.327239999999</v>
      </c>
      <c r="Z346">
        <v>111281.1632</v>
      </c>
      <c r="AF346">
        <v>305261.0612</v>
      </c>
      <c r="AI346">
        <v>0.208498406</v>
      </c>
      <c r="AJ346">
        <v>0.12051185909999999</v>
      </c>
      <c r="AK346">
        <v>-0.86977937080000001</v>
      </c>
      <c r="AL346">
        <v>0.1845876639</v>
      </c>
      <c r="AM346">
        <v>-0.2031430159</v>
      </c>
      <c r="AN346">
        <v>-0.69421616060000002</v>
      </c>
      <c r="AS346">
        <v>0</v>
      </c>
      <c r="AT346">
        <v>0</v>
      </c>
      <c r="BK346">
        <v>0</v>
      </c>
      <c r="BL346">
        <v>2.8389874530000001E-2</v>
      </c>
      <c r="BM346">
        <v>0.85666009050000003</v>
      </c>
      <c r="BN346">
        <v>-0.46181153209999998</v>
      </c>
      <c r="CH346">
        <v>0.43068451629999999</v>
      </c>
      <c r="CI346">
        <v>0.66537525639999995</v>
      </c>
      <c r="CK346">
        <v>-0.2281613753</v>
      </c>
      <c r="CT346">
        <v>-0.56544584340000004</v>
      </c>
      <c r="CU346">
        <v>0</v>
      </c>
      <c r="CV346">
        <v>-0.45673324360000001</v>
      </c>
      <c r="CW346">
        <v>-0.42590470390000001</v>
      </c>
      <c r="CX346">
        <v>-0.53876797009999999</v>
      </c>
    </row>
    <row r="347" spans="1:102" x14ac:dyDescent="0.25">
      <c r="A347" t="s">
        <v>821</v>
      </c>
      <c r="B347" t="s">
        <v>822</v>
      </c>
      <c r="C347">
        <v>1000</v>
      </c>
      <c r="D347" t="s">
        <v>215</v>
      </c>
      <c r="F347">
        <v>25</v>
      </c>
      <c r="G347">
        <v>25</v>
      </c>
      <c r="H347">
        <v>25</v>
      </c>
      <c r="I347">
        <v>25</v>
      </c>
      <c r="J347">
        <f t="shared" si="10"/>
        <v>7.5</v>
      </c>
      <c r="K347">
        <f t="shared" si="11"/>
        <v>-1.3862943611198906</v>
      </c>
      <c r="L347">
        <v>34134.470329999996</v>
      </c>
      <c r="M347">
        <v>0.50785352839999998</v>
      </c>
      <c r="P347">
        <v>0.49214647160000002</v>
      </c>
      <c r="R347">
        <v>35536.613149999997</v>
      </c>
      <c r="S347">
        <v>66358.280629999994</v>
      </c>
      <c r="W347">
        <v>42510.529219999997</v>
      </c>
      <c r="X347">
        <v>74775.538409999994</v>
      </c>
      <c r="Z347">
        <v>267652.44449999998</v>
      </c>
      <c r="AA347">
        <v>242912.63399999999</v>
      </c>
      <c r="AI347">
        <v>0.46076401239999998</v>
      </c>
      <c r="AK347">
        <v>-0.81702898290000003</v>
      </c>
      <c r="AL347">
        <v>0.10538039</v>
      </c>
      <c r="AM347">
        <v>0.71038438559999995</v>
      </c>
      <c r="AS347">
        <v>0</v>
      </c>
      <c r="AT347">
        <v>0</v>
      </c>
      <c r="AZ347">
        <v>0</v>
      </c>
      <c r="BA347">
        <v>-0.54292111409999999</v>
      </c>
      <c r="BC347">
        <v>0</v>
      </c>
      <c r="BD347">
        <v>-0.68876273980000002</v>
      </c>
      <c r="BK347">
        <v>0</v>
      </c>
      <c r="BL347">
        <v>0.56688501219999998</v>
      </c>
      <c r="BM347">
        <v>0.53202495029999997</v>
      </c>
      <c r="BO347">
        <v>0.80237178310000001</v>
      </c>
      <c r="BP347">
        <v>-0.25658537370000001</v>
      </c>
      <c r="BQ347">
        <v>0</v>
      </c>
      <c r="BR347">
        <v>0.53885384859999996</v>
      </c>
      <c r="BS347">
        <v>0.48046077869999998</v>
      </c>
      <c r="CH347">
        <v>0.34664126410000001</v>
      </c>
      <c r="CI347">
        <v>-0.69588001710000003</v>
      </c>
      <c r="CK347">
        <v>0.62896012209999996</v>
      </c>
      <c r="CQ347">
        <v>-0.2478632395</v>
      </c>
      <c r="CR347">
        <v>0.67806329669999998</v>
      </c>
      <c r="CS347">
        <v>0.69194939850000003</v>
      </c>
    </row>
    <row r="348" spans="1:102" x14ac:dyDescent="0.25">
      <c r="A348" t="s">
        <v>823</v>
      </c>
      <c r="B348" t="s">
        <v>824</v>
      </c>
      <c r="C348">
        <v>1000</v>
      </c>
      <c r="D348" t="s">
        <v>111</v>
      </c>
      <c r="E348">
        <v>12.5</v>
      </c>
      <c r="G348">
        <v>37.5</v>
      </c>
      <c r="H348">
        <v>25</v>
      </c>
      <c r="I348">
        <v>25</v>
      </c>
      <c r="J348">
        <f t="shared" si="10"/>
        <v>8</v>
      </c>
      <c r="K348">
        <f t="shared" si="11"/>
        <v>-1.3208883431493221</v>
      </c>
      <c r="L348">
        <v>37441.63394</v>
      </c>
      <c r="M348">
        <v>1</v>
      </c>
      <c r="R348">
        <v>37019.855510000001</v>
      </c>
      <c r="S348">
        <v>65753.691860000006</v>
      </c>
      <c r="Z348">
        <v>286647.49589999998</v>
      </c>
      <c r="AJ348">
        <v>0.25337606140000002</v>
      </c>
      <c r="AK348">
        <v>-0.88223406950000005</v>
      </c>
      <c r="AL348">
        <v>-0.10717467260000001</v>
      </c>
      <c r="AN348">
        <v>0.71262447480000002</v>
      </c>
      <c r="AS348">
        <v>0</v>
      </c>
      <c r="AT348">
        <v>0</v>
      </c>
      <c r="BK348">
        <v>0</v>
      </c>
      <c r="BL348">
        <v>-0.45844855429999998</v>
      </c>
      <c r="BN348">
        <v>-0.65419155449999999</v>
      </c>
      <c r="CH348">
        <v>0.39681685719999998</v>
      </c>
      <c r="CI348">
        <v>-0.69331085920000002</v>
      </c>
      <c r="CK348">
        <v>-0.60154661750000005</v>
      </c>
    </row>
    <row r="349" spans="1:102" x14ac:dyDescent="0.25">
      <c r="A349" t="s">
        <v>825</v>
      </c>
      <c r="B349" t="s">
        <v>826</v>
      </c>
      <c r="C349">
        <v>1000</v>
      </c>
      <c r="D349" t="s">
        <v>215</v>
      </c>
      <c r="F349">
        <v>12.5</v>
      </c>
      <c r="G349">
        <v>37.5</v>
      </c>
      <c r="H349">
        <v>25</v>
      </c>
      <c r="I349">
        <v>25</v>
      </c>
      <c r="J349">
        <f t="shared" si="10"/>
        <v>7.625</v>
      </c>
      <c r="K349">
        <f t="shared" si="11"/>
        <v>-1.3208883431493221</v>
      </c>
      <c r="L349">
        <v>36147.718829999998</v>
      </c>
      <c r="M349">
        <v>0.73058881440000001</v>
      </c>
      <c r="P349">
        <v>0.26941118559999999</v>
      </c>
      <c r="R349">
        <v>33418.027130000002</v>
      </c>
      <c r="S349">
        <v>90148.363129999998</v>
      </c>
      <c r="W349">
        <v>41579.543720000001</v>
      </c>
      <c r="X349">
        <v>101251.63069999999</v>
      </c>
      <c r="Z349">
        <v>268541.05979999999</v>
      </c>
      <c r="AA349">
        <v>220293.18210000001</v>
      </c>
      <c r="AI349">
        <v>0.26262691830000001</v>
      </c>
      <c r="AK349">
        <v>-0.84769449230000005</v>
      </c>
      <c r="AL349">
        <v>-0.1401585383</v>
      </c>
      <c r="AM349">
        <v>0.72709761679999996</v>
      </c>
      <c r="AS349">
        <v>0</v>
      </c>
      <c r="AT349">
        <v>0</v>
      </c>
      <c r="AZ349">
        <v>0</v>
      </c>
      <c r="BA349">
        <v>0.28123400479999999</v>
      </c>
      <c r="BC349">
        <v>0</v>
      </c>
      <c r="BD349">
        <v>0.74580717679999997</v>
      </c>
      <c r="BK349">
        <v>0</v>
      </c>
      <c r="BL349">
        <v>0.51163282809999999</v>
      </c>
      <c r="BM349">
        <v>0.63431550749999999</v>
      </c>
      <c r="BO349">
        <v>-0.87369285159999999</v>
      </c>
      <c r="BP349">
        <v>-6.1307052870000003E-2</v>
      </c>
      <c r="BQ349">
        <v>0</v>
      </c>
      <c r="BR349">
        <v>0.48259947149999999</v>
      </c>
      <c r="BS349">
        <v>0.60388665649999995</v>
      </c>
      <c r="CH349">
        <v>0.46091338609999999</v>
      </c>
      <c r="CI349">
        <v>-0.67207487659999998</v>
      </c>
      <c r="CK349">
        <v>0.57954782900000001</v>
      </c>
      <c r="CQ349">
        <v>0.39694865610000002</v>
      </c>
      <c r="CR349">
        <v>-0.66333483270000004</v>
      </c>
      <c r="CS349">
        <v>0.63436476590000002</v>
      </c>
    </row>
    <row r="350" spans="1:102" x14ac:dyDescent="0.25">
      <c r="A350" t="s">
        <v>827</v>
      </c>
      <c r="B350" t="s">
        <v>828</v>
      </c>
      <c r="C350">
        <v>1000</v>
      </c>
      <c r="D350" t="s">
        <v>215</v>
      </c>
      <c r="G350">
        <v>50</v>
      </c>
      <c r="H350">
        <v>25</v>
      </c>
      <c r="I350">
        <v>25</v>
      </c>
      <c r="J350">
        <f t="shared" si="10"/>
        <v>7.75</v>
      </c>
      <c r="K350">
        <f t="shared" si="11"/>
        <v>-1.0397207708399179</v>
      </c>
      <c r="L350">
        <v>38084.023110000002</v>
      </c>
      <c r="M350">
        <v>0.91394955690000002</v>
      </c>
      <c r="P350">
        <v>8.6050443069999996E-2</v>
      </c>
      <c r="R350">
        <v>37349.081989999999</v>
      </c>
      <c r="S350">
        <v>185632.90900000001</v>
      </c>
      <c r="W350">
        <v>45880.048340000001</v>
      </c>
      <c r="X350">
        <v>153196.75769999999</v>
      </c>
      <c r="AK350">
        <v>-0.8074246893</v>
      </c>
      <c r="AL350">
        <v>-0.58996931600000002</v>
      </c>
      <c r="AS350">
        <v>0</v>
      </c>
      <c r="AT350">
        <v>0</v>
      </c>
      <c r="AZ350">
        <v>0</v>
      </c>
      <c r="BC350">
        <v>0</v>
      </c>
      <c r="BO350">
        <v>-0.86571318249999996</v>
      </c>
      <c r="BP350">
        <v>-0.50054039520000004</v>
      </c>
      <c r="CH350">
        <v>0.58997065280000005</v>
      </c>
      <c r="CI350">
        <v>-0.80742566599999999</v>
      </c>
      <c r="CQ350">
        <v>0.50054039360000002</v>
      </c>
      <c r="CR350">
        <v>-0.86571318159999999</v>
      </c>
    </row>
    <row r="351" spans="1:102" x14ac:dyDescent="0.25">
      <c r="A351" t="s">
        <v>829</v>
      </c>
      <c r="B351" t="s">
        <v>830</v>
      </c>
      <c r="C351">
        <v>1000</v>
      </c>
      <c r="D351" t="s">
        <v>111</v>
      </c>
      <c r="E351">
        <v>37.5</v>
      </c>
      <c r="H351">
        <v>37.5</v>
      </c>
      <c r="I351">
        <v>25</v>
      </c>
      <c r="J351">
        <f t="shared" si="10"/>
        <v>8.25</v>
      </c>
      <c r="K351">
        <f t="shared" si="11"/>
        <v>-1.0821955300387673</v>
      </c>
      <c r="L351">
        <v>33974.149510000003</v>
      </c>
      <c r="M351">
        <v>1</v>
      </c>
      <c r="R351">
        <v>44877.453589999997</v>
      </c>
      <c r="S351">
        <v>188896.6808</v>
      </c>
      <c r="AJ351">
        <v>0.79742468020000001</v>
      </c>
      <c r="AN351">
        <v>0.60341849709999995</v>
      </c>
      <c r="AS351">
        <v>0</v>
      </c>
      <c r="AT351">
        <v>0</v>
      </c>
      <c r="CH351">
        <v>-0.60341849449999996</v>
      </c>
      <c r="CI351">
        <v>0.79742467809999995</v>
      </c>
    </row>
    <row r="352" spans="1:102" x14ac:dyDescent="0.25">
      <c r="A352" t="s">
        <v>831</v>
      </c>
      <c r="B352" t="s">
        <v>832</v>
      </c>
      <c r="C352">
        <v>1000</v>
      </c>
      <c r="D352" t="s">
        <v>111</v>
      </c>
      <c r="E352">
        <v>25</v>
      </c>
      <c r="F352">
        <v>12.5</v>
      </c>
      <c r="H352">
        <v>37.5</v>
      </c>
      <c r="I352">
        <v>25</v>
      </c>
      <c r="J352">
        <f t="shared" si="10"/>
        <v>7.875</v>
      </c>
      <c r="K352">
        <f t="shared" si="11"/>
        <v>-1.3208883431493221</v>
      </c>
      <c r="L352">
        <v>32780.43576</v>
      </c>
      <c r="M352">
        <v>1</v>
      </c>
      <c r="R352">
        <v>50291.66575</v>
      </c>
      <c r="S352">
        <v>102800.5529</v>
      </c>
      <c r="Z352">
        <v>176669.48439999999</v>
      </c>
      <c r="AI352">
        <v>-0.17300622769999999</v>
      </c>
      <c r="AJ352">
        <v>0.83083988119999996</v>
      </c>
      <c r="AM352">
        <v>-0.90530107849999997</v>
      </c>
      <c r="AN352">
        <v>7.7384391499999997E-2</v>
      </c>
      <c r="AS352">
        <v>0</v>
      </c>
      <c r="AT352">
        <v>0</v>
      </c>
      <c r="BK352">
        <v>0</v>
      </c>
      <c r="BM352">
        <v>0.38794175130000003</v>
      </c>
      <c r="BN352">
        <v>0.55110502780000004</v>
      </c>
      <c r="CH352">
        <v>-0.52893660949999999</v>
      </c>
      <c r="CI352">
        <v>0.41766208030000002</v>
      </c>
      <c r="CK352">
        <v>0.73877225580000006</v>
      </c>
    </row>
    <row r="353" spans="1:110" x14ac:dyDescent="0.25">
      <c r="A353" t="s">
        <v>833</v>
      </c>
      <c r="B353" t="s">
        <v>834</v>
      </c>
      <c r="C353">
        <v>1000</v>
      </c>
      <c r="D353" t="s">
        <v>215</v>
      </c>
      <c r="E353">
        <v>12.5</v>
      </c>
      <c r="F353">
        <v>25</v>
      </c>
      <c r="H353">
        <v>37.5</v>
      </c>
      <c r="I353">
        <v>25</v>
      </c>
      <c r="J353">
        <f t="shared" si="10"/>
        <v>7.5</v>
      </c>
      <c r="K353">
        <f t="shared" si="11"/>
        <v>-1.3208883431493221</v>
      </c>
      <c r="L353">
        <v>30156.799350000001</v>
      </c>
      <c r="M353">
        <v>0.4041374244</v>
      </c>
      <c r="P353">
        <v>0.5958625756</v>
      </c>
      <c r="R353">
        <v>56552.024819999999</v>
      </c>
      <c r="S353">
        <v>66219.038069999995</v>
      </c>
      <c r="W353">
        <v>74121.804329999999</v>
      </c>
      <c r="X353">
        <v>99697.864279999994</v>
      </c>
      <c r="Z353">
        <v>199729.4283</v>
      </c>
      <c r="AA353">
        <v>247324.14069999999</v>
      </c>
      <c r="AI353">
        <v>-0.1774611613</v>
      </c>
      <c r="AJ353">
        <v>0.80812160359999996</v>
      </c>
      <c r="AM353">
        <v>0.91672849180000004</v>
      </c>
      <c r="AN353">
        <v>-7.1825935179999995E-2</v>
      </c>
      <c r="AS353">
        <v>0</v>
      </c>
      <c r="AT353">
        <v>0</v>
      </c>
      <c r="AZ353">
        <v>0</v>
      </c>
      <c r="BA353">
        <v>0.90389317170000005</v>
      </c>
      <c r="BB353">
        <v>4.5755527570000003E-2</v>
      </c>
      <c r="BC353">
        <v>0</v>
      </c>
      <c r="BD353">
        <v>-0.35798087220000002</v>
      </c>
      <c r="BE353">
        <v>0.62516506029999996</v>
      </c>
      <c r="BK353">
        <v>0</v>
      </c>
      <c r="BM353">
        <v>0.357933522</v>
      </c>
      <c r="BN353">
        <v>0.58461997229999996</v>
      </c>
      <c r="BQ353">
        <v>0</v>
      </c>
      <c r="BS353">
        <v>-0.23415128660000001</v>
      </c>
      <c r="BT353">
        <v>-0.77915025520000003</v>
      </c>
      <c r="CH353">
        <v>-0.56164669499999997</v>
      </c>
      <c r="CI353">
        <v>-0.39300115429999999</v>
      </c>
      <c r="CK353">
        <v>0.72808178239999999</v>
      </c>
      <c r="CQ353">
        <v>-0.42530408629999999</v>
      </c>
      <c r="CR353">
        <v>-0.69355485900000002</v>
      </c>
      <c r="CS353">
        <v>-0.58146199769999996</v>
      </c>
    </row>
    <row r="354" spans="1:110" x14ac:dyDescent="0.25">
      <c r="A354" t="s">
        <v>835</v>
      </c>
      <c r="B354" t="s">
        <v>836</v>
      </c>
      <c r="C354">
        <v>1000</v>
      </c>
      <c r="D354" t="s">
        <v>319</v>
      </c>
      <c r="F354">
        <v>37.5</v>
      </c>
      <c r="H354">
        <v>37.5</v>
      </c>
      <c r="I354">
        <v>25</v>
      </c>
      <c r="J354">
        <f t="shared" si="10"/>
        <v>7.125</v>
      </c>
      <c r="K354">
        <f t="shared" si="11"/>
        <v>-1.0821955300387673</v>
      </c>
      <c r="L354">
        <v>27209.74438</v>
      </c>
      <c r="P354">
        <v>1</v>
      </c>
      <c r="W354">
        <v>60337.687810000003</v>
      </c>
      <c r="X354">
        <v>174892.71170000001</v>
      </c>
      <c r="AZ354">
        <v>0</v>
      </c>
      <c r="BA354">
        <v>-0.94080913870000005</v>
      </c>
      <c r="BC354">
        <v>0</v>
      </c>
      <c r="BD354">
        <v>-0.33893682959999999</v>
      </c>
      <c r="CQ354">
        <v>0.33893681489999999</v>
      </c>
      <c r="CR354">
        <v>-0.94080913340000005</v>
      </c>
    </row>
    <row r="355" spans="1:110" x14ac:dyDescent="0.25">
      <c r="A355" t="s">
        <v>837</v>
      </c>
      <c r="B355" t="s">
        <v>838</v>
      </c>
      <c r="C355">
        <v>1000</v>
      </c>
      <c r="D355" t="s">
        <v>111</v>
      </c>
      <c r="E355">
        <v>25</v>
      </c>
      <c r="G355">
        <v>12.5</v>
      </c>
      <c r="H355">
        <v>37.5</v>
      </c>
      <c r="I355">
        <v>25</v>
      </c>
      <c r="J355">
        <f t="shared" si="10"/>
        <v>8</v>
      </c>
      <c r="K355">
        <f t="shared" si="11"/>
        <v>-1.3208883431493221</v>
      </c>
      <c r="L355">
        <v>36558.000390000001</v>
      </c>
      <c r="M355">
        <v>1</v>
      </c>
      <c r="R355">
        <v>49841.963150000003</v>
      </c>
      <c r="S355">
        <v>74109.341709999993</v>
      </c>
      <c r="Z355">
        <v>220202.6073</v>
      </c>
      <c r="AJ355">
        <v>0.82439888029999997</v>
      </c>
      <c r="AK355">
        <v>-0.20911509319999999</v>
      </c>
      <c r="AL355">
        <v>-0.81895266600000005</v>
      </c>
      <c r="AN355">
        <v>0.1462912277</v>
      </c>
      <c r="AS355">
        <v>0</v>
      </c>
      <c r="AT355">
        <v>0</v>
      </c>
      <c r="BK355">
        <v>0</v>
      </c>
      <c r="BL355">
        <v>-0.53440379140000005</v>
      </c>
      <c r="BN355">
        <v>-0.54677725450000003</v>
      </c>
      <c r="CH355">
        <v>-0.52596327239999996</v>
      </c>
      <c r="CI355">
        <v>0.5549012592</v>
      </c>
      <c r="CK355">
        <v>-0.6445519542</v>
      </c>
    </row>
    <row r="356" spans="1:110" x14ac:dyDescent="0.25">
      <c r="A356" t="s">
        <v>839</v>
      </c>
      <c r="B356" t="s">
        <v>840</v>
      </c>
      <c r="C356">
        <v>1000</v>
      </c>
      <c r="D356" t="s">
        <v>215</v>
      </c>
      <c r="E356">
        <v>12.5</v>
      </c>
      <c r="F356">
        <v>12.5</v>
      </c>
      <c r="G356">
        <v>12.5</v>
      </c>
      <c r="H356">
        <v>37.5</v>
      </c>
      <c r="I356">
        <v>25</v>
      </c>
      <c r="J356">
        <f t="shared" si="10"/>
        <v>7.625</v>
      </c>
      <c r="K356">
        <f t="shared" si="11"/>
        <v>-1.4941751382893083</v>
      </c>
      <c r="L356">
        <v>33717.222820000003</v>
      </c>
      <c r="M356">
        <v>0.59837284459999995</v>
      </c>
      <c r="P356">
        <v>0.40162715539999999</v>
      </c>
      <c r="R356">
        <v>60225.376420000001</v>
      </c>
      <c r="S356">
        <v>73118.996679999997</v>
      </c>
      <c r="W356">
        <v>80703.014630000005</v>
      </c>
      <c r="X356">
        <v>100873.6773</v>
      </c>
      <c r="Z356">
        <v>102538.2815</v>
      </c>
      <c r="AA356">
        <v>142875.45819999999</v>
      </c>
      <c r="AF356">
        <v>255425.18549999999</v>
      </c>
      <c r="AG356">
        <v>277056.28629999998</v>
      </c>
      <c r="AI356">
        <v>-7.162488233E-2</v>
      </c>
      <c r="AJ356">
        <v>0.66278041080000005</v>
      </c>
      <c r="AK356">
        <v>0.20067244810000001</v>
      </c>
      <c r="AL356">
        <v>-0.83142298859999997</v>
      </c>
      <c r="AM356">
        <v>0.166534921</v>
      </c>
      <c r="AN356">
        <v>0.48966259140000001</v>
      </c>
      <c r="AS356">
        <v>0</v>
      </c>
      <c r="AT356">
        <v>0</v>
      </c>
      <c r="AZ356">
        <v>0</v>
      </c>
      <c r="BA356">
        <v>-0.37231706170000001</v>
      </c>
      <c r="BB356">
        <v>-3.0527463080000001E-2</v>
      </c>
      <c r="BC356">
        <v>0</v>
      </c>
      <c r="BD356">
        <v>0.58431303430000003</v>
      </c>
      <c r="BE356">
        <v>0.30543775299999998</v>
      </c>
      <c r="BK356">
        <v>0</v>
      </c>
      <c r="BL356">
        <v>5.1676154940000003E-2</v>
      </c>
      <c r="BM356">
        <v>-0.90405623420000003</v>
      </c>
      <c r="BN356">
        <v>0.25441105260000002</v>
      </c>
      <c r="BO356">
        <v>0.79582699710000004</v>
      </c>
      <c r="BP356">
        <v>-0.1554224632</v>
      </c>
      <c r="BQ356">
        <v>0</v>
      </c>
      <c r="BR356">
        <v>-0.40708388490000003</v>
      </c>
      <c r="BS356">
        <v>-0.6663643937</v>
      </c>
      <c r="BT356">
        <v>0.59275924710000005</v>
      </c>
      <c r="CH356">
        <v>-0.71785971609999999</v>
      </c>
      <c r="CI356">
        <v>0.20305782580000001</v>
      </c>
      <c r="CK356">
        <v>0.33953927119999999</v>
      </c>
      <c r="CQ356">
        <v>-0.47655794010000002</v>
      </c>
      <c r="CR356">
        <v>-0.73561533079999997</v>
      </c>
      <c r="CS356">
        <v>-0.19717423880000001</v>
      </c>
      <c r="CT356">
        <v>-0.57285078860000005</v>
      </c>
      <c r="CU356">
        <v>0</v>
      </c>
      <c r="CV356">
        <v>-0.51555402819999996</v>
      </c>
      <c r="CW356">
        <v>-0.38706371410000001</v>
      </c>
      <c r="CX356">
        <v>-0.50618939060000001</v>
      </c>
      <c r="CZ356">
        <v>-0.4391866445</v>
      </c>
      <c r="DA356">
        <v>0</v>
      </c>
      <c r="DB356">
        <v>-0.42045923940000002</v>
      </c>
      <c r="DC356">
        <v>-0.27552998210000001</v>
      </c>
      <c r="DD356">
        <v>-0.7445887108</v>
      </c>
    </row>
    <row r="357" spans="1:110" x14ac:dyDescent="0.25">
      <c r="A357" t="s">
        <v>841</v>
      </c>
      <c r="B357" t="s">
        <v>842</v>
      </c>
      <c r="C357">
        <v>1000</v>
      </c>
      <c r="D357" t="s">
        <v>319</v>
      </c>
      <c r="F357">
        <v>25</v>
      </c>
      <c r="G357">
        <v>12.5</v>
      </c>
      <c r="H357">
        <v>37.5</v>
      </c>
      <c r="I357">
        <v>25</v>
      </c>
      <c r="J357">
        <f t="shared" si="10"/>
        <v>7.25</v>
      </c>
      <c r="K357">
        <f t="shared" si="11"/>
        <v>-1.3208883431493221</v>
      </c>
      <c r="L357">
        <v>31073.76397</v>
      </c>
      <c r="P357">
        <v>1</v>
      </c>
      <c r="W357">
        <v>59662.791270000002</v>
      </c>
      <c r="X357">
        <v>83845.791700000002</v>
      </c>
      <c r="AA357">
        <v>213227.71799999999</v>
      </c>
      <c r="AZ357">
        <v>0</v>
      </c>
      <c r="BA357">
        <v>0.82076505050000004</v>
      </c>
      <c r="BC357">
        <v>0</v>
      </c>
      <c r="BD357">
        <v>-0.40994885850000001</v>
      </c>
      <c r="BO357">
        <v>-0.56996746460000003</v>
      </c>
      <c r="BP357">
        <v>-0.54072515629999995</v>
      </c>
      <c r="BQ357">
        <v>0</v>
      </c>
      <c r="BR357">
        <v>0.6186706743</v>
      </c>
      <c r="BS357">
        <v>0.39785258029999998</v>
      </c>
      <c r="CQ357">
        <v>3.8494431240000002E-2</v>
      </c>
      <c r="CR357">
        <v>0.73454628089999996</v>
      </c>
      <c r="CS357">
        <v>0.677465808</v>
      </c>
    </row>
    <row r="358" spans="1:110" x14ac:dyDescent="0.25">
      <c r="A358" t="s">
        <v>843</v>
      </c>
      <c r="B358" t="s">
        <v>844</v>
      </c>
      <c r="C358">
        <v>1000</v>
      </c>
      <c r="D358" t="s">
        <v>215</v>
      </c>
      <c r="E358">
        <v>12.5</v>
      </c>
      <c r="G358">
        <v>25</v>
      </c>
      <c r="H358">
        <v>37.5</v>
      </c>
      <c r="I358">
        <v>25</v>
      </c>
      <c r="J358">
        <f t="shared" si="10"/>
        <v>7.75</v>
      </c>
      <c r="K358">
        <f t="shared" si="11"/>
        <v>-1.3208883431493221</v>
      </c>
      <c r="L358">
        <v>37201.298340000001</v>
      </c>
      <c r="M358">
        <v>0.70972557839999995</v>
      </c>
      <c r="P358">
        <v>0.2902744216</v>
      </c>
      <c r="R358">
        <v>43078.424039999998</v>
      </c>
      <c r="S358">
        <v>61994.971819999999</v>
      </c>
      <c r="W358">
        <v>56028.661890000003</v>
      </c>
      <c r="X358">
        <v>118026.118</v>
      </c>
      <c r="Z358">
        <v>232024.68849999999</v>
      </c>
      <c r="AA358">
        <v>265085.8468</v>
      </c>
      <c r="AJ358">
        <v>0.3512935351</v>
      </c>
      <c r="AK358">
        <v>-0.88968861460000004</v>
      </c>
      <c r="AL358">
        <v>3.2040772879999999E-2</v>
      </c>
      <c r="AN358">
        <v>0.68520514769999996</v>
      </c>
      <c r="AS358">
        <v>0</v>
      </c>
      <c r="AT358">
        <v>0</v>
      </c>
      <c r="AZ358">
        <v>0</v>
      </c>
      <c r="BB358">
        <v>-0.1070226658</v>
      </c>
      <c r="BC358">
        <v>0</v>
      </c>
      <c r="BE358">
        <v>0.3871042596</v>
      </c>
      <c r="BK358">
        <v>0</v>
      </c>
      <c r="BL358">
        <v>-0.45544215789999998</v>
      </c>
      <c r="BN358">
        <v>-0.63803350989999996</v>
      </c>
      <c r="BO358">
        <v>0.87784776060000003</v>
      </c>
      <c r="BP358">
        <v>-0.39568772549999998</v>
      </c>
      <c r="BQ358">
        <v>0</v>
      </c>
      <c r="BR358">
        <v>0.26984168819999999</v>
      </c>
      <c r="BT358">
        <v>0.91580371090000001</v>
      </c>
      <c r="CH358">
        <v>0.29162822440000002</v>
      </c>
      <c r="CI358">
        <v>-0.72764503329999997</v>
      </c>
      <c r="CK358">
        <v>-0.62087493189999998</v>
      </c>
      <c r="CQ358">
        <v>-0.466829153</v>
      </c>
      <c r="CR358">
        <v>-0.83281541540000004</v>
      </c>
      <c r="CS358">
        <v>0.29747105130000001</v>
      </c>
    </row>
    <row r="359" spans="1:110" x14ac:dyDescent="0.25">
      <c r="A359" t="s">
        <v>845</v>
      </c>
      <c r="B359" t="s">
        <v>846</v>
      </c>
      <c r="C359">
        <v>1000</v>
      </c>
      <c r="D359" t="s">
        <v>319</v>
      </c>
      <c r="F359">
        <v>12.5</v>
      </c>
      <c r="G359">
        <v>25</v>
      </c>
      <c r="H359">
        <v>37.5</v>
      </c>
      <c r="I359">
        <v>25</v>
      </c>
      <c r="J359">
        <f t="shared" si="10"/>
        <v>7.375</v>
      </c>
      <c r="K359">
        <f t="shared" si="11"/>
        <v>-1.3208883431493221</v>
      </c>
      <c r="L359">
        <v>34410.804830000001</v>
      </c>
      <c r="P359">
        <v>1</v>
      </c>
      <c r="W359">
        <v>46892.00952</v>
      </c>
      <c r="X359">
        <v>100119.9476</v>
      </c>
      <c r="AA359">
        <v>196785.80160000001</v>
      </c>
      <c r="AZ359">
        <v>0</v>
      </c>
      <c r="BA359">
        <v>0.29510189570000001</v>
      </c>
      <c r="BC359">
        <v>0</v>
      </c>
      <c r="BD359">
        <v>0.74136572570000003</v>
      </c>
      <c r="BO359">
        <v>-0.86622600019999996</v>
      </c>
      <c r="BP359">
        <v>-5.861424363E-2</v>
      </c>
      <c r="BQ359">
        <v>0</v>
      </c>
      <c r="BR359">
        <v>0.49620247200000001</v>
      </c>
      <c r="BS359">
        <v>0.60273687460000003</v>
      </c>
      <c r="CQ359">
        <v>0.40319646279999999</v>
      </c>
      <c r="CR359">
        <v>-0.66853663419999998</v>
      </c>
      <c r="CS359">
        <v>0.62489308430000001</v>
      </c>
    </row>
    <row r="360" spans="1:110" x14ac:dyDescent="0.25">
      <c r="A360" t="s">
        <v>847</v>
      </c>
      <c r="B360" t="s">
        <v>848</v>
      </c>
      <c r="C360">
        <v>1000</v>
      </c>
      <c r="D360" t="s">
        <v>319</v>
      </c>
      <c r="G360">
        <v>37.5</v>
      </c>
      <c r="H360">
        <v>37.5</v>
      </c>
      <c r="I360">
        <v>25</v>
      </c>
      <c r="J360">
        <f t="shared" si="10"/>
        <v>7.5</v>
      </c>
      <c r="K360">
        <f t="shared" si="11"/>
        <v>-1.0821955300387673</v>
      </c>
      <c r="L360">
        <v>37426.721550000002</v>
      </c>
      <c r="P360">
        <v>1</v>
      </c>
      <c r="W360">
        <v>46023.207900000001</v>
      </c>
      <c r="X360">
        <v>144585.1992</v>
      </c>
      <c r="AZ360">
        <v>0</v>
      </c>
      <c r="BC360">
        <v>0</v>
      </c>
      <c r="BO360">
        <v>-0.85310139900000004</v>
      </c>
      <c r="BP360">
        <v>-0.52174515489999995</v>
      </c>
      <c r="CQ360">
        <v>0.5217451514</v>
      </c>
      <c r="CR360">
        <v>-0.85310139689999998</v>
      </c>
    </row>
    <row r="361" spans="1:110" x14ac:dyDescent="0.25">
      <c r="A361" t="s">
        <v>849</v>
      </c>
      <c r="B361" t="s">
        <v>850</v>
      </c>
      <c r="C361">
        <v>1000</v>
      </c>
      <c r="D361" t="s">
        <v>301</v>
      </c>
      <c r="E361">
        <v>25</v>
      </c>
      <c r="H361">
        <v>50</v>
      </c>
      <c r="I361">
        <v>25</v>
      </c>
      <c r="J361">
        <f t="shared" si="10"/>
        <v>7.75</v>
      </c>
      <c r="K361">
        <f t="shared" si="11"/>
        <v>-1.0397207708399179</v>
      </c>
      <c r="L361">
        <v>35563.137170000002</v>
      </c>
      <c r="M361">
        <v>0.91082400419999998</v>
      </c>
      <c r="Q361">
        <v>8.9175995810000006E-2</v>
      </c>
      <c r="R361">
        <v>53770.344989999998</v>
      </c>
      <c r="S361">
        <v>148181.86970000001</v>
      </c>
      <c r="AB361">
        <v>40055.417999999998</v>
      </c>
      <c r="AC361">
        <v>124867.5956</v>
      </c>
      <c r="AJ361">
        <v>0.80593285749999999</v>
      </c>
      <c r="AN361">
        <v>0.59200695479999998</v>
      </c>
      <c r="AS361">
        <v>0</v>
      </c>
      <c r="AT361">
        <v>0</v>
      </c>
      <c r="BV361">
        <v>0</v>
      </c>
      <c r="BY361">
        <v>-0.66708526830000003</v>
      </c>
      <c r="BZ361">
        <v>0</v>
      </c>
      <c r="CC361">
        <v>-0.7449814213</v>
      </c>
      <c r="CH361">
        <v>-0.59200695029999995</v>
      </c>
      <c r="CI361">
        <v>0.80593285420000005</v>
      </c>
      <c r="DE361">
        <v>-0.74498137210000004</v>
      </c>
      <c r="DF361">
        <v>0.66708521340000004</v>
      </c>
    </row>
    <row r="362" spans="1:110" x14ac:dyDescent="0.25">
      <c r="A362" t="s">
        <v>851</v>
      </c>
      <c r="B362" t="s">
        <v>852</v>
      </c>
      <c r="C362">
        <v>1000</v>
      </c>
      <c r="D362" t="s">
        <v>215</v>
      </c>
      <c r="E362">
        <v>12.5</v>
      </c>
      <c r="F362">
        <v>12.5</v>
      </c>
      <c r="H362">
        <v>50</v>
      </c>
      <c r="I362">
        <v>25</v>
      </c>
      <c r="J362">
        <f t="shared" si="10"/>
        <v>7.375</v>
      </c>
      <c r="K362">
        <f t="shared" si="11"/>
        <v>-1.2130075659799042</v>
      </c>
      <c r="L362">
        <v>31252.780709999999</v>
      </c>
      <c r="M362">
        <v>0.1958699434</v>
      </c>
      <c r="P362">
        <v>0.80413005660000003</v>
      </c>
      <c r="R362">
        <v>52386.884209999997</v>
      </c>
      <c r="S362">
        <v>104297.40850000001</v>
      </c>
      <c r="W362">
        <v>88515.582269999999</v>
      </c>
      <c r="X362">
        <v>117499.0527</v>
      </c>
      <c r="Z362">
        <v>177033.6312</v>
      </c>
      <c r="AA362">
        <v>207584.87059999999</v>
      </c>
      <c r="AI362">
        <v>-0.16779760429999999</v>
      </c>
      <c r="AJ362">
        <v>0.80396098059999999</v>
      </c>
      <c r="AM362">
        <v>-0.88109064829999995</v>
      </c>
      <c r="AN362">
        <v>0.13727526570000001</v>
      </c>
      <c r="AS362">
        <v>0</v>
      </c>
      <c r="AT362">
        <v>0</v>
      </c>
      <c r="AZ362">
        <v>0</v>
      </c>
      <c r="BA362">
        <v>0.24189271709999999</v>
      </c>
      <c r="BB362">
        <v>0.58146931310000005</v>
      </c>
      <c r="BC362">
        <v>0</v>
      </c>
      <c r="BD362">
        <v>-0.92095544210000002</v>
      </c>
      <c r="BE362">
        <v>0.38963735910000002</v>
      </c>
      <c r="BK362">
        <v>0</v>
      </c>
      <c r="BM362">
        <v>0.44218009180000001</v>
      </c>
      <c r="BN362">
        <v>0.57862098760000003</v>
      </c>
      <c r="BQ362">
        <v>0</v>
      </c>
      <c r="BS362">
        <v>0.3054979068</v>
      </c>
      <c r="BT362">
        <v>0.71419622009999995</v>
      </c>
      <c r="CH362">
        <v>-0.57051792749999997</v>
      </c>
      <c r="CI362">
        <v>0.45258675510000002</v>
      </c>
      <c r="CK362">
        <v>0.68532803760000005</v>
      </c>
      <c r="CQ362">
        <v>-0.77677625569999997</v>
      </c>
      <c r="CR362">
        <v>4.8787391229999999E-3</v>
      </c>
      <c r="CS362">
        <v>0.6297577218</v>
      </c>
    </row>
    <row r="363" spans="1:110" x14ac:dyDescent="0.25">
      <c r="A363" t="s">
        <v>853</v>
      </c>
      <c r="B363" t="s">
        <v>854</v>
      </c>
      <c r="C363">
        <v>1000</v>
      </c>
      <c r="D363" t="s">
        <v>294</v>
      </c>
      <c r="F363">
        <v>25</v>
      </c>
      <c r="H363">
        <v>50</v>
      </c>
      <c r="I363">
        <v>25</v>
      </c>
      <c r="J363">
        <f t="shared" si="10"/>
        <v>7</v>
      </c>
      <c r="K363">
        <f t="shared" si="11"/>
        <v>-1.0397207708399179</v>
      </c>
      <c r="L363">
        <v>27130.594929999999</v>
      </c>
      <c r="P363">
        <v>0.94355580120000004</v>
      </c>
      <c r="Q363">
        <v>5.6444198770000002E-2</v>
      </c>
      <c r="W363">
        <v>71604.772670000006</v>
      </c>
      <c r="X363">
        <v>174548.1882</v>
      </c>
      <c r="AB363">
        <v>58232.739979999998</v>
      </c>
      <c r="AC363">
        <v>92337.474749999994</v>
      </c>
      <c r="AZ363">
        <v>0</v>
      </c>
      <c r="BA363">
        <v>-0.96444328869999996</v>
      </c>
      <c r="BC363">
        <v>0</v>
      </c>
      <c r="BD363">
        <v>-0.26428990949999998</v>
      </c>
      <c r="BV363">
        <v>0</v>
      </c>
      <c r="BW363">
        <v>-0.71781270389999996</v>
      </c>
      <c r="BZ363">
        <v>0</v>
      </c>
      <c r="CB363">
        <v>0.69623674869999996</v>
      </c>
      <c r="CQ363">
        <v>0.26428988419999999</v>
      </c>
      <c r="CR363">
        <v>-0.96444328180000005</v>
      </c>
      <c r="DE363">
        <v>-0.69623625460000005</v>
      </c>
      <c r="DF363">
        <v>-0.71781222460000005</v>
      </c>
    </row>
    <row r="364" spans="1:110" x14ac:dyDescent="0.25">
      <c r="A364" t="s">
        <v>855</v>
      </c>
      <c r="B364" t="s">
        <v>856</v>
      </c>
      <c r="C364">
        <v>1000</v>
      </c>
      <c r="D364" t="s">
        <v>215</v>
      </c>
      <c r="E364">
        <v>12.5</v>
      </c>
      <c r="G364">
        <v>12.5</v>
      </c>
      <c r="H364">
        <v>50</v>
      </c>
      <c r="I364">
        <v>25</v>
      </c>
      <c r="J364">
        <f t="shared" si="10"/>
        <v>7.5</v>
      </c>
      <c r="K364">
        <f t="shared" si="11"/>
        <v>-1.2130075659799042</v>
      </c>
      <c r="L364">
        <v>35360.189509999997</v>
      </c>
      <c r="M364">
        <v>0.33411741499999997</v>
      </c>
      <c r="P364">
        <v>0.66588258499999997</v>
      </c>
      <c r="R364">
        <v>53965.155789999997</v>
      </c>
      <c r="S364">
        <v>74412.497759999998</v>
      </c>
      <c r="W364">
        <v>81244.258690000002</v>
      </c>
      <c r="X364">
        <v>112959.67999999999</v>
      </c>
      <c r="Z364">
        <v>208598.9235</v>
      </c>
      <c r="AA364">
        <v>222394.94810000001</v>
      </c>
      <c r="AJ364">
        <v>0.80331624079999997</v>
      </c>
      <c r="AK364">
        <v>-0.1990216735</v>
      </c>
      <c r="AL364">
        <v>-0.81552549649999995</v>
      </c>
      <c r="AN364">
        <v>0.18184988290000001</v>
      </c>
      <c r="AS364">
        <v>0</v>
      </c>
      <c r="AT364">
        <v>0</v>
      </c>
      <c r="AZ364">
        <v>0</v>
      </c>
      <c r="BB364">
        <v>6.7738486750000002E-3</v>
      </c>
      <c r="BC364">
        <v>0</v>
      </c>
      <c r="BE364">
        <v>0.61752606310000002</v>
      </c>
      <c r="BK364">
        <v>0</v>
      </c>
      <c r="BL364">
        <v>-0.54342298639999997</v>
      </c>
      <c r="BN364">
        <v>-0.56710990230000002</v>
      </c>
      <c r="BO364">
        <v>-0.72177217839999996</v>
      </c>
      <c r="BP364">
        <v>-0.54135506700000002</v>
      </c>
      <c r="BQ364">
        <v>0</v>
      </c>
      <c r="BR364">
        <v>-0.43125353370000002</v>
      </c>
      <c r="BT364">
        <v>-0.78652124229999998</v>
      </c>
      <c r="CH364">
        <v>-0.56131398590000003</v>
      </c>
      <c r="CI364">
        <v>0.5494076671</v>
      </c>
      <c r="CK364">
        <v>-0.6189328046</v>
      </c>
      <c r="CQ364">
        <v>0.69209756359999997</v>
      </c>
      <c r="CR364">
        <v>-0.57061042129999995</v>
      </c>
      <c r="CS364">
        <v>-0.44204606670000002</v>
      </c>
    </row>
    <row r="365" spans="1:110" x14ac:dyDescent="0.25">
      <c r="A365" t="s">
        <v>857</v>
      </c>
      <c r="B365" t="s">
        <v>858</v>
      </c>
      <c r="C365">
        <v>1000</v>
      </c>
      <c r="D365" t="s">
        <v>319</v>
      </c>
      <c r="F365">
        <v>12.5</v>
      </c>
      <c r="G365">
        <v>12.5</v>
      </c>
      <c r="H365">
        <v>50</v>
      </c>
      <c r="I365">
        <v>25</v>
      </c>
      <c r="J365">
        <f t="shared" si="10"/>
        <v>7.125</v>
      </c>
      <c r="K365">
        <f t="shared" si="11"/>
        <v>-1.2130075659799042</v>
      </c>
      <c r="L365">
        <v>31384.496709999999</v>
      </c>
      <c r="P365">
        <v>1</v>
      </c>
      <c r="W365">
        <v>75706.820489999998</v>
      </c>
      <c r="X365">
        <v>109457.19960000001</v>
      </c>
      <c r="AA365">
        <v>200641.22510000001</v>
      </c>
      <c r="AZ365">
        <v>0</v>
      </c>
      <c r="BA365">
        <v>0.39711201899999998</v>
      </c>
      <c r="BC365">
        <v>0</v>
      </c>
      <c r="BD365">
        <v>0.79707461680000002</v>
      </c>
      <c r="BO365">
        <v>-0.8127336235</v>
      </c>
      <c r="BP365">
        <v>7.5141502930000006E-2</v>
      </c>
      <c r="BQ365">
        <v>0</v>
      </c>
      <c r="BR365">
        <v>0.57776970589999999</v>
      </c>
      <c r="BS365">
        <v>0.45494408549999998</v>
      </c>
      <c r="CQ365">
        <v>0.42634035879999999</v>
      </c>
      <c r="CR365">
        <v>-0.59918762489999999</v>
      </c>
      <c r="CS365">
        <v>0.67764891049999998</v>
      </c>
    </row>
    <row r="366" spans="1:110" x14ac:dyDescent="0.25">
      <c r="A366" t="s">
        <v>859</v>
      </c>
      <c r="B366" t="s">
        <v>860</v>
      </c>
      <c r="C366">
        <v>1000</v>
      </c>
      <c r="D366" t="s">
        <v>319</v>
      </c>
      <c r="G366">
        <v>25</v>
      </c>
      <c r="H366">
        <v>50</v>
      </c>
      <c r="I366">
        <v>25</v>
      </c>
      <c r="J366">
        <f t="shared" si="10"/>
        <v>7.25</v>
      </c>
      <c r="K366">
        <f t="shared" si="11"/>
        <v>-1.0397207708399179</v>
      </c>
      <c r="L366">
        <v>35084.252869999997</v>
      </c>
      <c r="P366">
        <v>1</v>
      </c>
      <c r="W366">
        <v>53538.794540000003</v>
      </c>
      <c r="X366">
        <v>142546.6539</v>
      </c>
      <c r="AZ366">
        <v>0</v>
      </c>
      <c r="BC366">
        <v>0</v>
      </c>
      <c r="BO366">
        <v>-0.86555300349999997</v>
      </c>
      <c r="BP366">
        <v>-0.50081733809999995</v>
      </c>
      <c r="CQ366">
        <v>0.50081732999999995</v>
      </c>
      <c r="CR366">
        <v>-0.86555299890000004</v>
      </c>
    </row>
    <row r="367" spans="1:110" x14ac:dyDescent="0.25">
      <c r="A367" t="s">
        <v>861</v>
      </c>
      <c r="B367" t="s">
        <v>862</v>
      </c>
      <c r="C367">
        <v>1000</v>
      </c>
      <c r="D367" t="s">
        <v>672</v>
      </c>
      <c r="E367">
        <v>12.5</v>
      </c>
      <c r="H367">
        <v>62.5</v>
      </c>
      <c r="I367">
        <v>25</v>
      </c>
      <c r="J367">
        <f t="shared" si="10"/>
        <v>7.25</v>
      </c>
      <c r="K367">
        <f t="shared" si="11"/>
        <v>-0.90025605126853692</v>
      </c>
      <c r="L367">
        <v>33973.529990000003</v>
      </c>
      <c r="M367">
        <v>0.1764300396</v>
      </c>
      <c r="P367">
        <v>0.72763702949999998</v>
      </c>
      <c r="Q367">
        <v>9.5932930910000005E-2</v>
      </c>
      <c r="R367">
        <v>54610.127820000002</v>
      </c>
      <c r="S367">
        <v>146290.25150000001</v>
      </c>
      <c r="W367">
        <v>91447.631179999997</v>
      </c>
      <c r="X367">
        <v>191149.1575</v>
      </c>
      <c r="AB367">
        <v>41593.481780000002</v>
      </c>
      <c r="AC367">
        <v>123781.0327</v>
      </c>
      <c r="AJ367">
        <v>0.79024514499999998</v>
      </c>
      <c r="AN367">
        <v>0.61279084250000004</v>
      </c>
      <c r="AS367">
        <v>0</v>
      </c>
      <c r="AT367">
        <v>0</v>
      </c>
      <c r="AZ367">
        <v>0</v>
      </c>
      <c r="BB367">
        <v>0.65159356560000004</v>
      </c>
      <c r="BC367">
        <v>0</v>
      </c>
      <c r="BE367">
        <v>-0.75856828190000003</v>
      </c>
      <c r="BV367">
        <v>0</v>
      </c>
      <c r="BY367">
        <v>-0.62431244770000005</v>
      </c>
      <c r="BZ367">
        <v>0</v>
      </c>
      <c r="CC367">
        <v>-0.78117478399999996</v>
      </c>
      <c r="CH367">
        <v>-0.61279083769999998</v>
      </c>
      <c r="CI367">
        <v>0.79024514130000001</v>
      </c>
      <c r="CQ367">
        <v>-0.75856827329999998</v>
      </c>
      <c r="CR367">
        <v>-0.65159355549999998</v>
      </c>
      <c r="DE367">
        <v>-0.78117473569999996</v>
      </c>
      <c r="DF367">
        <v>0.62431238720000004</v>
      </c>
    </row>
    <row r="368" spans="1:110" x14ac:dyDescent="0.25">
      <c r="A368" t="s">
        <v>863</v>
      </c>
      <c r="B368" t="s">
        <v>864</v>
      </c>
      <c r="C368">
        <v>1000</v>
      </c>
      <c r="D368" t="s">
        <v>294</v>
      </c>
      <c r="F368">
        <v>12.5</v>
      </c>
      <c r="H368">
        <v>62.5</v>
      </c>
      <c r="I368">
        <v>25</v>
      </c>
      <c r="J368">
        <f t="shared" si="10"/>
        <v>6.875</v>
      </c>
      <c r="K368">
        <f t="shared" si="11"/>
        <v>-0.90025605126853692</v>
      </c>
      <c r="L368">
        <v>29054.78688</v>
      </c>
      <c r="P368">
        <v>0.70571280589999996</v>
      </c>
      <c r="Q368">
        <v>0.29428719409999998</v>
      </c>
      <c r="W368">
        <v>110631.32060000001</v>
      </c>
      <c r="X368">
        <v>176489.53880000001</v>
      </c>
      <c r="AB368">
        <v>56845.815309999998</v>
      </c>
      <c r="AC368">
        <v>133275.40040000001</v>
      </c>
      <c r="AZ368">
        <v>0</v>
      </c>
      <c r="BA368">
        <v>-0.91626416560000001</v>
      </c>
      <c r="BC368">
        <v>0</v>
      </c>
      <c r="BD368">
        <v>-0.40057462119999998</v>
      </c>
      <c r="BV368">
        <v>0</v>
      </c>
      <c r="BW368">
        <v>0.33622934710000002</v>
      </c>
      <c r="BZ368">
        <v>0</v>
      </c>
      <c r="CB368">
        <v>0.94178024849999997</v>
      </c>
      <c r="CQ368">
        <v>0.40057456089999999</v>
      </c>
      <c r="CR368">
        <v>-0.91626413920000005</v>
      </c>
      <c r="DE368">
        <v>0.94178013679999995</v>
      </c>
      <c r="DF368">
        <v>-0.33622903440000002</v>
      </c>
    </row>
    <row r="369" spans="1:110" x14ac:dyDescent="0.25">
      <c r="A369" t="s">
        <v>865</v>
      </c>
      <c r="B369" t="s">
        <v>866</v>
      </c>
      <c r="C369">
        <v>1000</v>
      </c>
      <c r="D369" t="s">
        <v>294</v>
      </c>
      <c r="G369">
        <v>12.5</v>
      </c>
      <c r="H369">
        <v>62.5</v>
      </c>
      <c r="I369">
        <v>25</v>
      </c>
      <c r="J369">
        <f t="shared" si="10"/>
        <v>7</v>
      </c>
      <c r="K369">
        <f t="shared" si="11"/>
        <v>-0.90025605126853692</v>
      </c>
      <c r="L369">
        <v>33528.849520000003</v>
      </c>
      <c r="P369">
        <v>0.82911524810000004</v>
      </c>
      <c r="Q369">
        <v>0.17088475189999999</v>
      </c>
      <c r="W369">
        <v>80358.784880000007</v>
      </c>
      <c r="X369">
        <v>170222.5722</v>
      </c>
      <c r="AB369">
        <v>64895.683949999999</v>
      </c>
      <c r="AC369">
        <v>111164.75290000001</v>
      </c>
      <c r="AZ369">
        <v>0</v>
      </c>
      <c r="BC369">
        <v>0</v>
      </c>
      <c r="BO369">
        <v>-0.78585199390000005</v>
      </c>
      <c r="BP369">
        <v>-0.61841463289999998</v>
      </c>
      <c r="BV369">
        <v>0</v>
      </c>
      <c r="BX369">
        <v>0.2410932523</v>
      </c>
      <c r="BZ369">
        <v>0</v>
      </c>
      <c r="CA369">
        <v>0.97050199930000003</v>
      </c>
      <c r="CQ369">
        <v>0.61841462120000001</v>
      </c>
      <c r="CR369">
        <v>-0.78585198460000005</v>
      </c>
      <c r="DE369">
        <v>0.97050195449999999</v>
      </c>
      <c r="DF369">
        <v>-0.2410930721</v>
      </c>
    </row>
    <row r="370" spans="1:110" x14ac:dyDescent="0.25">
      <c r="A370" t="s">
        <v>867</v>
      </c>
      <c r="B370" t="s">
        <v>868</v>
      </c>
      <c r="C370">
        <v>1000</v>
      </c>
      <c r="D370" t="s">
        <v>294</v>
      </c>
      <c r="H370">
        <v>75</v>
      </c>
      <c r="I370">
        <v>25</v>
      </c>
      <c r="J370">
        <f t="shared" si="10"/>
        <v>6.75</v>
      </c>
      <c r="K370">
        <f t="shared" si="11"/>
        <v>-0.56233514461880829</v>
      </c>
      <c r="L370">
        <v>32176.680909999999</v>
      </c>
      <c r="P370">
        <v>0.5952429776</v>
      </c>
      <c r="Q370">
        <v>0.4047570224</v>
      </c>
      <c r="W370">
        <v>161128.54389999999</v>
      </c>
      <c r="AB370">
        <v>60119.963029999999</v>
      </c>
      <c r="AZ370">
        <v>0</v>
      </c>
      <c r="BV370">
        <v>0</v>
      </c>
      <c r="CQ370">
        <v>1</v>
      </c>
      <c r="DE370">
        <v>1</v>
      </c>
    </row>
    <row r="371" spans="1:110" x14ac:dyDescent="0.25">
      <c r="A371" t="s">
        <v>869</v>
      </c>
      <c r="B371" t="s">
        <v>870</v>
      </c>
      <c r="C371">
        <v>1000</v>
      </c>
      <c r="D371" t="s">
        <v>111</v>
      </c>
      <c r="E371">
        <v>62.5</v>
      </c>
      <c r="I371">
        <v>37.5</v>
      </c>
      <c r="J371">
        <f t="shared" si="10"/>
        <v>9.625</v>
      </c>
      <c r="K371">
        <f t="shared" si="11"/>
        <v>-0.66156323815798213</v>
      </c>
      <c r="L371">
        <v>32689.452410000002</v>
      </c>
      <c r="M371">
        <v>1</v>
      </c>
      <c r="R371">
        <v>42087.509610000001</v>
      </c>
      <c r="AJ371">
        <v>1</v>
      </c>
      <c r="CH371">
        <v>0</v>
      </c>
    </row>
    <row r="372" spans="1:110" x14ac:dyDescent="0.25">
      <c r="A372" t="s">
        <v>871</v>
      </c>
      <c r="B372" t="s">
        <v>872</v>
      </c>
      <c r="C372">
        <v>1000</v>
      </c>
      <c r="D372" t="s">
        <v>111</v>
      </c>
      <c r="E372">
        <v>50</v>
      </c>
      <c r="F372">
        <v>12.5</v>
      </c>
      <c r="I372">
        <v>37.5</v>
      </c>
      <c r="J372">
        <f t="shared" si="10"/>
        <v>9.25</v>
      </c>
      <c r="K372">
        <f t="shared" si="11"/>
        <v>-0.97431475286934943</v>
      </c>
      <c r="L372">
        <v>30311.588199999998</v>
      </c>
      <c r="M372">
        <v>1</v>
      </c>
      <c r="R372">
        <v>24805.249790000002</v>
      </c>
      <c r="S372">
        <v>342682.98830000003</v>
      </c>
      <c r="AI372">
        <v>0</v>
      </c>
      <c r="AJ372">
        <v>0.69911154909999995</v>
      </c>
      <c r="AM372">
        <v>0</v>
      </c>
      <c r="AN372">
        <v>-0.7150122149</v>
      </c>
      <c r="CH372">
        <v>-0.71501261660000004</v>
      </c>
      <c r="CI372">
        <v>-0.69911195989999997</v>
      </c>
    </row>
    <row r="373" spans="1:110" x14ac:dyDescent="0.25">
      <c r="A373" t="s">
        <v>873</v>
      </c>
      <c r="B373" t="s">
        <v>874</v>
      </c>
      <c r="C373">
        <v>1000</v>
      </c>
      <c r="D373" t="s">
        <v>111</v>
      </c>
      <c r="E373">
        <v>37.5</v>
      </c>
      <c r="F373">
        <v>25</v>
      </c>
      <c r="I373">
        <v>37.5</v>
      </c>
      <c r="J373">
        <f t="shared" si="10"/>
        <v>8.875</v>
      </c>
      <c r="K373">
        <f t="shared" si="11"/>
        <v>-1.0821955300387671</v>
      </c>
      <c r="L373">
        <v>29297.7042</v>
      </c>
      <c r="M373">
        <v>1</v>
      </c>
      <c r="R373">
        <v>28716.527180000001</v>
      </c>
      <c r="S373">
        <v>249704.38639999999</v>
      </c>
      <c r="AI373">
        <v>0</v>
      </c>
      <c r="AJ373">
        <v>0.68823386340000003</v>
      </c>
      <c r="AM373">
        <v>0</v>
      </c>
      <c r="AN373">
        <v>-0.72548890389999998</v>
      </c>
      <c r="CH373">
        <v>-0.72548890359999996</v>
      </c>
      <c r="CI373">
        <v>-0.68823386310000001</v>
      </c>
    </row>
    <row r="374" spans="1:110" x14ac:dyDescent="0.25">
      <c r="A374" t="s">
        <v>875</v>
      </c>
      <c r="B374" t="s">
        <v>876</v>
      </c>
      <c r="C374">
        <v>1000</v>
      </c>
      <c r="D374" t="s">
        <v>111</v>
      </c>
      <c r="E374">
        <v>25</v>
      </c>
      <c r="F374">
        <v>37.5</v>
      </c>
      <c r="I374">
        <v>37.5</v>
      </c>
      <c r="J374">
        <f t="shared" si="10"/>
        <v>8.5</v>
      </c>
      <c r="K374">
        <f t="shared" si="11"/>
        <v>-1.0821955300387671</v>
      </c>
      <c r="L374">
        <v>29596.098770000001</v>
      </c>
      <c r="M374">
        <v>1</v>
      </c>
      <c r="R374">
        <v>34820.877310000003</v>
      </c>
      <c r="S374">
        <v>208718.21030000001</v>
      </c>
      <c r="AI374">
        <v>0</v>
      </c>
      <c r="AJ374">
        <v>0.65858350929999998</v>
      </c>
      <c r="AM374">
        <v>0</v>
      </c>
      <c r="AN374">
        <v>-0.75250764920000002</v>
      </c>
      <c r="CH374">
        <v>-0.75250764869999998</v>
      </c>
      <c r="CI374">
        <v>-0.65858350870000004</v>
      </c>
    </row>
    <row r="375" spans="1:110" x14ac:dyDescent="0.25">
      <c r="A375" t="s">
        <v>877</v>
      </c>
      <c r="B375" t="s">
        <v>878</v>
      </c>
      <c r="C375">
        <v>1000</v>
      </c>
      <c r="D375" t="s">
        <v>111</v>
      </c>
      <c r="E375">
        <v>12.5</v>
      </c>
      <c r="F375">
        <v>50</v>
      </c>
      <c r="I375">
        <v>37.5</v>
      </c>
      <c r="J375">
        <f t="shared" si="10"/>
        <v>8.125</v>
      </c>
      <c r="K375">
        <f t="shared" si="11"/>
        <v>-0.97431475286934943</v>
      </c>
      <c r="L375">
        <v>30746.659339999998</v>
      </c>
      <c r="M375">
        <v>1</v>
      </c>
      <c r="R375">
        <v>49662.075089999998</v>
      </c>
      <c r="S375">
        <v>203915.30780000001</v>
      </c>
      <c r="AI375">
        <v>0</v>
      </c>
      <c r="AJ375">
        <v>0.55310985479999997</v>
      </c>
      <c r="AM375">
        <v>0</v>
      </c>
      <c r="AN375">
        <v>-0.83310833019999997</v>
      </c>
      <c r="CH375">
        <v>-0.83310832940000001</v>
      </c>
      <c r="CI375">
        <v>-0.55310985359999998</v>
      </c>
    </row>
    <row r="376" spans="1:110" x14ac:dyDescent="0.25">
      <c r="A376" t="s">
        <v>879</v>
      </c>
      <c r="B376" t="s">
        <v>880</v>
      </c>
      <c r="C376">
        <v>1000</v>
      </c>
      <c r="D376" t="s">
        <v>128</v>
      </c>
      <c r="F376">
        <v>62.5</v>
      </c>
      <c r="I376">
        <v>37.5</v>
      </c>
      <c r="J376">
        <f t="shared" si="10"/>
        <v>7.75</v>
      </c>
      <c r="K376">
        <f t="shared" si="11"/>
        <v>-0.66156323815798213</v>
      </c>
      <c r="L376">
        <v>31266.435669999999</v>
      </c>
      <c r="N376">
        <v>1</v>
      </c>
      <c r="T376">
        <v>99930.132159999994</v>
      </c>
      <c r="AP376">
        <v>0</v>
      </c>
      <c r="CJ376">
        <v>1</v>
      </c>
    </row>
    <row r="377" spans="1:110" x14ac:dyDescent="0.25">
      <c r="A377" t="s">
        <v>881</v>
      </c>
      <c r="B377" t="s">
        <v>882</v>
      </c>
      <c r="C377">
        <v>1000</v>
      </c>
      <c r="D377" t="s">
        <v>111</v>
      </c>
      <c r="E377">
        <v>50</v>
      </c>
      <c r="G377">
        <v>12.5</v>
      </c>
      <c r="I377">
        <v>37.5</v>
      </c>
      <c r="J377">
        <f t="shared" si="10"/>
        <v>9.375</v>
      </c>
      <c r="K377">
        <f t="shared" si="11"/>
        <v>-0.97431475286934943</v>
      </c>
      <c r="L377">
        <v>32064.202420000001</v>
      </c>
      <c r="M377">
        <v>1</v>
      </c>
      <c r="R377">
        <v>21374.350579999998</v>
      </c>
      <c r="S377">
        <v>242652.48869999999</v>
      </c>
      <c r="AJ377">
        <v>0.70088135370000004</v>
      </c>
      <c r="AK377">
        <v>0</v>
      </c>
      <c r="AL377">
        <v>0</v>
      </c>
      <c r="AN377">
        <v>-0.71327801800000001</v>
      </c>
      <c r="CH377">
        <v>-0.71327787580000002</v>
      </c>
      <c r="CI377">
        <v>-0.70088120899999995</v>
      </c>
    </row>
    <row r="378" spans="1:110" x14ac:dyDescent="0.25">
      <c r="A378" t="s">
        <v>883</v>
      </c>
      <c r="B378" t="s">
        <v>884</v>
      </c>
      <c r="C378">
        <v>1000</v>
      </c>
      <c r="D378" t="s">
        <v>111</v>
      </c>
      <c r="E378">
        <v>37.5</v>
      </c>
      <c r="F378">
        <v>12.5</v>
      </c>
      <c r="G378">
        <v>12.5</v>
      </c>
      <c r="I378">
        <v>37.5</v>
      </c>
      <c r="J378">
        <f t="shared" si="10"/>
        <v>9</v>
      </c>
      <c r="K378">
        <f t="shared" si="11"/>
        <v>-1.2554823251787535</v>
      </c>
      <c r="L378">
        <v>30892.610700000001</v>
      </c>
      <c r="M378">
        <v>1</v>
      </c>
      <c r="R378">
        <v>25770.871859999999</v>
      </c>
      <c r="S378">
        <v>77105.219039999996</v>
      </c>
      <c r="Z378">
        <v>445578.55320000002</v>
      </c>
      <c r="AI378">
        <v>0</v>
      </c>
      <c r="AJ378">
        <v>0.67083953829999998</v>
      </c>
      <c r="AK378">
        <v>2.74127773E-2</v>
      </c>
      <c r="AL378">
        <v>-0.83217738350000003</v>
      </c>
      <c r="AM378">
        <v>0</v>
      </c>
      <c r="AN378">
        <v>0.42606784240000001</v>
      </c>
      <c r="BL378">
        <v>-0.55383081619999996</v>
      </c>
      <c r="BM378">
        <v>0</v>
      </c>
      <c r="BN378">
        <v>-0.60699448030000003</v>
      </c>
      <c r="CH378">
        <v>-0.74109571139999997</v>
      </c>
      <c r="CI378">
        <v>0.35489011840000001</v>
      </c>
      <c r="CK378">
        <v>-0.56993782810000004</v>
      </c>
    </row>
    <row r="379" spans="1:110" x14ac:dyDescent="0.25">
      <c r="A379" t="s">
        <v>885</v>
      </c>
      <c r="B379" t="s">
        <v>886</v>
      </c>
      <c r="C379">
        <v>1000</v>
      </c>
      <c r="D379" t="s">
        <v>111</v>
      </c>
      <c r="E379">
        <v>25</v>
      </c>
      <c r="F379">
        <v>25</v>
      </c>
      <c r="G379">
        <v>12.5</v>
      </c>
      <c r="I379">
        <v>37.5</v>
      </c>
      <c r="J379">
        <f t="shared" si="10"/>
        <v>8.625</v>
      </c>
      <c r="K379">
        <f t="shared" si="11"/>
        <v>-1.3208883431493219</v>
      </c>
      <c r="L379">
        <v>30535.426530000001</v>
      </c>
      <c r="M379">
        <v>1</v>
      </c>
      <c r="R379">
        <v>31959.524140000001</v>
      </c>
      <c r="S379">
        <v>78416.758560000002</v>
      </c>
      <c r="Z379">
        <v>317631.09080000001</v>
      </c>
      <c r="AI379">
        <v>0</v>
      </c>
      <c r="AJ379">
        <v>0.61693873970000002</v>
      </c>
      <c r="AK379">
        <v>9.0720782870000002E-2</v>
      </c>
      <c r="AL379">
        <v>0.84389301149999996</v>
      </c>
      <c r="AM379">
        <v>0</v>
      </c>
      <c r="AN379">
        <v>-0.46444055200000001</v>
      </c>
      <c r="BL379">
        <v>0.52878570660000002</v>
      </c>
      <c r="BM379">
        <v>0</v>
      </c>
      <c r="BN379">
        <v>0.63535940010000003</v>
      </c>
      <c r="CH379">
        <v>-0.78176488219999996</v>
      </c>
      <c r="CI379">
        <v>-0.26858808369999998</v>
      </c>
      <c r="CK379">
        <v>0.56276470150000002</v>
      </c>
    </row>
    <row r="380" spans="1:110" x14ac:dyDescent="0.25">
      <c r="A380" t="s">
        <v>887</v>
      </c>
      <c r="B380" t="s">
        <v>888</v>
      </c>
      <c r="C380">
        <v>1000</v>
      </c>
      <c r="D380" t="s">
        <v>111</v>
      </c>
      <c r="E380">
        <v>12.5</v>
      </c>
      <c r="F380">
        <v>37.5</v>
      </c>
      <c r="G380">
        <v>12.5</v>
      </c>
      <c r="I380">
        <v>37.5</v>
      </c>
      <c r="J380">
        <f t="shared" si="10"/>
        <v>8.25</v>
      </c>
      <c r="K380">
        <f t="shared" si="11"/>
        <v>-1.2554823251787535</v>
      </c>
      <c r="L380">
        <v>31275.603210000001</v>
      </c>
      <c r="M380">
        <v>1</v>
      </c>
      <c r="R380">
        <v>43368.411010000003</v>
      </c>
      <c r="S380">
        <v>88194.17787</v>
      </c>
      <c r="Z380">
        <v>268291.43920000002</v>
      </c>
      <c r="AI380">
        <v>0</v>
      </c>
      <c r="AJ380">
        <v>0.4406837186</v>
      </c>
      <c r="AK380">
        <v>0.27618662259999999</v>
      </c>
      <c r="AL380">
        <v>-0.84726397320000002</v>
      </c>
      <c r="AM380">
        <v>0</v>
      </c>
      <c r="AN380">
        <v>0.53117205479999996</v>
      </c>
      <c r="BL380">
        <v>-0.45372316130000001</v>
      </c>
      <c r="BM380">
        <v>0</v>
      </c>
      <c r="BN380">
        <v>-0.72363948960000002</v>
      </c>
      <c r="CH380">
        <v>-0.85411873279999995</v>
      </c>
      <c r="CI380" s="1">
        <v>8.8862054229999998E-5</v>
      </c>
      <c r="CK380">
        <v>-0.52007805370000004</v>
      </c>
    </row>
    <row r="381" spans="1:110" x14ac:dyDescent="0.25">
      <c r="A381" t="s">
        <v>889</v>
      </c>
      <c r="B381" t="s">
        <v>890</v>
      </c>
      <c r="C381">
        <v>1000</v>
      </c>
      <c r="D381" t="s">
        <v>111</v>
      </c>
      <c r="F381">
        <v>50</v>
      </c>
      <c r="G381">
        <v>12.5</v>
      </c>
      <c r="I381">
        <v>37.5</v>
      </c>
      <c r="J381">
        <f t="shared" si="10"/>
        <v>7.875</v>
      </c>
      <c r="K381">
        <f t="shared" si="11"/>
        <v>-0.97431475286934943</v>
      </c>
      <c r="L381">
        <v>32658.46314</v>
      </c>
      <c r="M381">
        <v>1</v>
      </c>
      <c r="R381">
        <v>58754.591740000003</v>
      </c>
      <c r="S381">
        <v>139570.76519999999</v>
      </c>
      <c r="AI381">
        <v>0</v>
      </c>
      <c r="AK381">
        <v>-0.64563318650000001</v>
      </c>
      <c r="AL381">
        <v>0.76364869619999998</v>
      </c>
      <c r="AM381">
        <v>0</v>
      </c>
      <c r="CH381">
        <v>0.7636476861</v>
      </c>
      <c r="CI381">
        <v>0.64563199169999996</v>
      </c>
    </row>
    <row r="382" spans="1:110" x14ac:dyDescent="0.25">
      <c r="A382" t="s">
        <v>891</v>
      </c>
      <c r="B382" t="s">
        <v>892</v>
      </c>
      <c r="C382">
        <v>1000</v>
      </c>
      <c r="D382" t="s">
        <v>111</v>
      </c>
      <c r="E382">
        <v>37.5</v>
      </c>
      <c r="G382">
        <v>25</v>
      </c>
      <c r="I382">
        <v>37.5</v>
      </c>
      <c r="J382">
        <f t="shared" si="10"/>
        <v>9.125</v>
      </c>
      <c r="K382">
        <f t="shared" si="11"/>
        <v>-1.0821955300387671</v>
      </c>
      <c r="L382">
        <v>32527.036380000001</v>
      </c>
      <c r="M382">
        <v>1</v>
      </c>
      <c r="R382">
        <v>23147.91893</v>
      </c>
      <c r="S382">
        <v>147975.5189</v>
      </c>
      <c r="AJ382">
        <v>0.69796244139999997</v>
      </c>
      <c r="AK382">
        <v>0</v>
      </c>
      <c r="AL382">
        <v>0</v>
      </c>
      <c r="AN382">
        <v>-0.71613519780000001</v>
      </c>
      <c r="CH382">
        <v>-0.71613436610000003</v>
      </c>
      <c r="CI382">
        <v>-0.69796158809999997</v>
      </c>
    </row>
    <row r="383" spans="1:110" x14ac:dyDescent="0.25">
      <c r="A383" t="s">
        <v>893</v>
      </c>
      <c r="B383" t="s">
        <v>894</v>
      </c>
      <c r="C383">
        <v>1000</v>
      </c>
      <c r="D383" t="s">
        <v>111</v>
      </c>
      <c r="E383">
        <v>25</v>
      </c>
      <c r="F383">
        <v>12.5</v>
      </c>
      <c r="G383">
        <v>25</v>
      </c>
      <c r="I383">
        <v>37.5</v>
      </c>
      <c r="J383">
        <f t="shared" si="10"/>
        <v>8.75</v>
      </c>
      <c r="K383">
        <f t="shared" si="11"/>
        <v>-1.3208883431493219</v>
      </c>
      <c r="L383">
        <v>32011.158909999998</v>
      </c>
      <c r="M383">
        <v>1</v>
      </c>
      <c r="R383">
        <v>29633.338759999999</v>
      </c>
      <c r="S383">
        <v>45945.419119999999</v>
      </c>
      <c r="Z383">
        <v>434367.10979999998</v>
      </c>
      <c r="AI383">
        <v>0</v>
      </c>
      <c r="AJ383">
        <v>0.61759448790000004</v>
      </c>
      <c r="AK383">
        <v>9.1256591349999999E-2</v>
      </c>
      <c r="AL383">
        <v>-0.86213556530000002</v>
      </c>
      <c r="AM383">
        <v>0</v>
      </c>
      <c r="AN383">
        <v>0.44160686430000001</v>
      </c>
      <c r="BL383">
        <v>-0.49839052960000002</v>
      </c>
      <c r="BM383">
        <v>0</v>
      </c>
      <c r="BN383">
        <v>-0.65081832080000002</v>
      </c>
      <c r="CH383">
        <v>-0.78118453840000002</v>
      </c>
      <c r="CI383">
        <v>0.2484062085</v>
      </c>
      <c r="CK383">
        <v>-0.57274985229999997</v>
      </c>
    </row>
    <row r="384" spans="1:110" x14ac:dyDescent="0.25">
      <c r="A384" t="s">
        <v>895</v>
      </c>
      <c r="B384" t="s">
        <v>896</v>
      </c>
      <c r="C384">
        <v>1000</v>
      </c>
      <c r="D384" t="s">
        <v>111</v>
      </c>
      <c r="E384">
        <v>12.5</v>
      </c>
      <c r="F384">
        <v>25</v>
      </c>
      <c r="G384">
        <v>25</v>
      </c>
      <c r="I384">
        <v>37.5</v>
      </c>
      <c r="J384">
        <f t="shared" si="10"/>
        <v>8.375</v>
      </c>
      <c r="K384">
        <f t="shared" si="11"/>
        <v>-1.3208883431493219</v>
      </c>
      <c r="L384">
        <v>32143.934799999999</v>
      </c>
      <c r="M384">
        <v>1</v>
      </c>
      <c r="R384">
        <v>36949.95203</v>
      </c>
      <c r="S384">
        <v>56749.1368</v>
      </c>
      <c r="Z384">
        <v>316826.05170000001</v>
      </c>
      <c r="AI384">
        <v>0</v>
      </c>
      <c r="AJ384">
        <v>-0.22258777839999999</v>
      </c>
      <c r="AK384">
        <v>-0.59613927580000003</v>
      </c>
      <c r="AL384">
        <v>0.68888333479999997</v>
      </c>
      <c r="AM384">
        <v>0</v>
      </c>
      <c r="AN384">
        <v>-0.6352979808</v>
      </c>
      <c r="BL384">
        <v>0.41238054099999999</v>
      </c>
      <c r="BM384">
        <v>0</v>
      </c>
      <c r="BN384">
        <v>0.73949385320000005</v>
      </c>
      <c r="CH384">
        <v>0.77140951820000003</v>
      </c>
      <c r="CI384">
        <v>0.34905046439999998</v>
      </c>
      <c r="CK384">
        <v>0.53206308879999997</v>
      </c>
    </row>
    <row r="385" spans="1:102" x14ac:dyDescent="0.25">
      <c r="A385" t="s">
        <v>897</v>
      </c>
      <c r="B385" t="s">
        <v>898</v>
      </c>
      <c r="C385">
        <v>1000</v>
      </c>
      <c r="D385" t="s">
        <v>111</v>
      </c>
      <c r="F385">
        <v>37.5</v>
      </c>
      <c r="G385">
        <v>25</v>
      </c>
      <c r="I385">
        <v>37.5</v>
      </c>
      <c r="J385">
        <f t="shared" si="10"/>
        <v>8</v>
      </c>
      <c r="K385">
        <f t="shared" si="11"/>
        <v>-1.0821955300387671</v>
      </c>
      <c r="L385">
        <v>33193.195229999998</v>
      </c>
      <c r="M385">
        <v>1</v>
      </c>
      <c r="R385">
        <v>37325.33365</v>
      </c>
      <c r="S385">
        <v>132358.42139999999</v>
      </c>
      <c r="AI385">
        <v>0</v>
      </c>
      <c r="AK385">
        <v>-0.80338709450000001</v>
      </c>
      <c r="AL385">
        <v>-0.59545812399999998</v>
      </c>
      <c r="AM385">
        <v>0</v>
      </c>
      <c r="CH385">
        <v>0.59545711540000001</v>
      </c>
      <c r="CI385">
        <v>-0.803386347</v>
      </c>
    </row>
    <row r="386" spans="1:102" x14ac:dyDescent="0.25">
      <c r="A386" t="s">
        <v>899</v>
      </c>
      <c r="B386" t="s">
        <v>900</v>
      </c>
      <c r="C386">
        <v>1000</v>
      </c>
      <c r="D386" t="s">
        <v>111</v>
      </c>
      <c r="E386">
        <v>25</v>
      </c>
      <c r="G386">
        <v>37.5</v>
      </c>
      <c r="I386">
        <v>37.5</v>
      </c>
      <c r="J386">
        <f t="shared" si="10"/>
        <v>8.875</v>
      </c>
      <c r="K386">
        <f t="shared" si="11"/>
        <v>-1.0821955300387671</v>
      </c>
      <c r="L386">
        <v>33652.979829999997</v>
      </c>
      <c r="M386">
        <v>1</v>
      </c>
      <c r="R386">
        <v>28206.14172</v>
      </c>
      <c r="S386">
        <v>112580.52190000001</v>
      </c>
      <c r="AJ386">
        <v>0.67851822009999996</v>
      </c>
      <c r="AK386">
        <v>0</v>
      </c>
      <c r="AL386">
        <v>0</v>
      </c>
      <c r="AN386">
        <v>-0.73458419100000005</v>
      </c>
      <c r="CH386">
        <v>-0.73458357249999995</v>
      </c>
      <c r="CI386">
        <v>-0.67851755039999995</v>
      </c>
    </row>
    <row r="387" spans="1:102" x14ac:dyDescent="0.25">
      <c r="A387" t="s">
        <v>901</v>
      </c>
      <c r="B387" t="s">
        <v>902</v>
      </c>
      <c r="C387">
        <v>1000</v>
      </c>
      <c r="D387" t="s">
        <v>111</v>
      </c>
      <c r="E387">
        <v>12.5</v>
      </c>
      <c r="F387">
        <v>12.5</v>
      </c>
      <c r="G387">
        <v>37.5</v>
      </c>
      <c r="I387">
        <v>37.5</v>
      </c>
      <c r="J387">
        <f t="shared" ref="J387:J450" si="12">((10*E387)/100)+((7*F387)/100)+((8*G387)/100)+((6*H387)/100)+((9*I387)/100)</f>
        <v>8.5</v>
      </c>
      <c r="K387">
        <f t="shared" ref="K387:K450" si="13">IF(ISBLANK(E387)=TRUE,0,(E387/100)*LN(E387/100))+IF(ISBLANK(F387)=TRUE,0,(F387/100)*LN(F387/100))+IF(ISBLANK(G387)=TRUE,0,(G387/100)*LN(G387/100))+IF(ISBLANK(H387)=TRUE,0,(H387/100)*LN(H387/100))+IF(ISBLANK(I387)=TRUE,0,(I387/100)*LN(I387/100))</f>
        <v>-1.2554823251787535</v>
      </c>
      <c r="L387">
        <v>33356.044240000003</v>
      </c>
      <c r="M387">
        <v>1</v>
      </c>
      <c r="R387">
        <v>32500.031559999999</v>
      </c>
      <c r="S387">
        <v>49545.313150000002</v>
      </c>
      <c r="Z387">
        <v>449392.4216</v>
      </c>
      <c r="AI387">
        <v>0</v>
      </c>
      <c r="AJ387">
        <v>5.1119144530000001E-2</v>
      </c>
      <c r="AK387">
        <v>0.73439829580000004</v>
      </c>
      <c r="AL387">
        <v>0.50629149409999996</v>
      </c>
      <c r="AM387">
        <v>0</v>
      </c>
      <c r="AN387">
        <v>-0.70537414310000002</v>
      </c>
      <c r="BL387">
        <v>0.45203117850000002</v>
      </c>
      <c r="BM387">
        <v>0</v>
      </c>
      <c r="BN387">
        <v>0.70698943579999995</v>
      </c>
      <c r="CH387">
        <v>-0.67679093980000005</v>
      </c>
      <c r="CI387">
        <v>0.49610103929999999</v>
      </c>
      <c r="CK387">
        <v>0.54390601329999999</v>
      </c>
    </row>
    <row r="388" spans="1:102" x14ac:dyDescent="0.25">
      <c r="A388" t="s">
        <v>903</v>
      </c>
      <c r="B388" t="s">
        <v>904</v>
      </c>
      <c r="C388">
        <v>1000</v>
      </c>
      <c r="D388" t="s">
        <v>111</v>
      </c>
      <c r="F388">
        <v>25</v>
      </c>
      <c r="G388">
        <v>37.5</v>
      </c>
      <c r="I388">
        <v>37.5</v>
      </c>
      <c r="J388">
        <f t="shared" si="12"/>
        <v>8.125</v>
      </c>
      <c r="K388">
        <f t="shared" si="13"/>
        <v>-1.0821955300387671</v>
      </c>
      <c r="L388">
        <v>33863.52968</v>
      </c>
      <c r="M388">
        <v>1</v>
      </c>
      <c r="R388">
        <v>30129.024600000001</v>
      </c>
      <c r="S388">
        <v>153106.8242</v>
      </c>
      <c r="AI388">
        <v>0</v>
      </c>
      <c r="AK388">
        <v>-0.81511875349999996</v>
      </c>
      <c r="AL388">
        <v>-0.57929571120000001</v>
      </c>
      <c r="AM388">
        <v>0</v>
      </c>
      <c r="CH388">
        <v>0.57929389580000001</v>
      </c>
      <c r="CI388">
        <v>-0.81511746330000001</v>
      </c>
    </row>
    <row r="389" spans="1:102" x14ac:dyDescent="0.25">
      <c r="A389" t="s">
        <v>905</v>
      </c>
      <c r="B389" t="s">
        <v>906</v>
      </c>
      <c r="C389">
        <v>1000</v>
      </c>
      <c r="D389" t="s">
        <v>111</v>
      </c>
      <c r="E389">
        <v>12.5</v>
      </c>
      <c r="G389">
        <v>50</v>
      </c>
      <c r="I389">
        <v>37.5</v>
      </c>
      <c r="J389">
        <f t="shared" si="12"/>
        <v>8.625</v>
      </c>
      <c r="K389">
        <f t="shared" si="13"/>
        <v>-0.97431475286934943</v>
      </c>
      <c r="L389">
        <v>34809.682430000001</v>
      </c>
      <c r="M389">
        <v>1</v>
      </c>
      <c r="R389">
        <v>42282.714390000001</v>
      </c>
      <c r="S389">
        <v>119159.5396</v>
      </c>
      <c r="AJ389">
        <v>0.4944923101</v>
      </c>
      <c r="AK389">
        <v>0</v>
      </c>
      <c r="AL389">
        <v>0</v>
      </c>
      <c r="AN389">
        <v>-0.86918150279999995</v>
      </c>
      <c r="CH389">
        <v>-0.86918200349999997</v>
      </c>
      <c r="CI389">
        <v>-0.49449319019999999</v>
      </c>
    </row>
    <row r="390" spans="1:102" x14ac:dyDescent="0.25">
      <c r="A390" t="s">
        <v>907</v>
      </c>
      <c r="B390" t="s">
        <v>908</v>
      </c>
      <c r="C390">
        <v>1000</v>
      </c>
      <c r="D390" t="s">
        <v>111</v>
      </c>
      <c r="F390">
        <v>12.5</v>
      </c>
      <c r="G390">
        <v>50</v>
      </c>
      <c r="I390">
        <v>37.5</v>
      </c>
      <c r="J390">
        <f t="shared" si="12"/>
        <v>8.25</v>
      </c>
      <c r="K390">
        <f t="shared" si="13"/>
        <v>-0.97431475286934943</v>
      </c>
      <c r="L390">
        <v>34675.904580000002</v>
      </c>
      <c r="M390">
        <v>1</v>
      </c>
      <c r="R390">
        <v>28587.321929999998</v>
      </c>
      <c r="S390">
        <v>231759.60509999999</v>
      </c>
      <c r="AI390">
        <v>0</v>
      </c>
      <c r="AK390">
        <v>-0.78339020429999995</v>
      </c>
      <c r="AL390">
        <v>-0.62153096510000005</v>
      </c>
      <c r="AM390">
        <v>0</v>
      </c>
      <c r="CH390">
        <v>0.62153019860000003</v>
      </c>
      <c r="CI390">
        <v>-0.78338959620000004</v>
      </c>
    </row>
    <row r="391" spans="1:102" x14ac:dyDescent="0.25">
      <c r="A391" t="s">
        <v>909</v>
      </c>
      <c r="B391" t="s">
        <v>910</v>
      </c>
      <c r="C391">
        <v>1000</v>
      </c>
      <c r="D391" t="s">
        <v>111</v>
      </c>
      <c r="G391">
        <v>62.5</v>
      </c>
      <c r="I391">
        <v>37.5</v>
      </c>
      <c r="J391">
        <f t="shared" si="12"/>
        <v>8.375</v>
      </c>
      <c r="K391">
        <f t="shared" si="13"/>
        <v>-0.66156323815798213</v>
      </c>
      <c r="L391">
        <v>35628.389600000002</v>
      </c>
      <c r="M391">
        <v>1</v>
      </c>
      <c r="R391">
        <v>59824.049899999998</v>
      </c>
      <c r="AK391">
        <v>0</v>
      </c>
      <c r="CH391">
        <v>1</v>
      </c>
    </row>
    <row r="392" spans="1:102" x14ac:dyDescent="0.25">
      <c r="A392" t="s">
        <v>911</v>
      </c>
      <c r="B392" t="s">
        <v>912</v>
      </c>
      <c r="C392">
        <v>1000</v>
      </c>
      <c r="D392" t="s">
        <v>111</v>
      </c>
      <c r="E392">
        <v>50</v>
      </c>
      <c r="H392">
        <v>12.5</v>
      </c>
      <c r="I392">
        <v>37.5</v>
      </c>
      <c r="J392">
        <f t="shared" si="12"/>
        <v>9.125</v>
      </c>
      <c r="K392">
        <f t="shared" si="13"/>
        <v>-0.97431475286934943</v>
      </c>
      <c r="L392">
        <v>32516.872619999998</v>
      </c>
      <c r="M392">
        <v>1</v>
      </c>
      <c r="R392">
        <v>28460.212879999999</v>
      </c>
      <c r="S392">
        <v>357386.95309999998</v>
      </c>
      <c r="AJ392">
        <v>0.71585040379999998</v>
      </c>
      <c r="AN392">
        <v>0.69825377239999997</v>
      </c>
      <c r="AS392">
        <v>0</v>
      </c>
      <c r="AT392">
        <v>0</v>
      </c>
      <c r="CH392">
        <v>-0.69825367839999997</v>
      </c>
      <c r="CI392">
        <v>0.71585031210000005</v>
      </c>
    </row>
    <row r="393" spans="1:102" x14ac:dyDescent="0.25">
      <c r="A393" t="s">
        <v>913</v>
      </c>
      <c r="B393" t="s">
        <v>914</v>
      </c>
      <c r="C393">
        <v>1000</v>
      </c>
      <c r="D393" t="s">
        <v>111</v>
      </c>
      <c r="E393">
        <v>37.5</v>
      </c>
      <c r="F393">
        <v>12.5</v>
      </c>
      <c r="H393">
        <v>12.5</v>
      </c>
      <c r="I393">
        <v>37.5</v>
      </c>
      <c r="J393">
        <f t="shared" si="12"/>
        <v>8.75</v>
      </c>
      <c r="K393">
        <f t="shared" si="13"/>
        <v>-1.2554823251787535</v>
      </c>
      <c r="L393">
        <v>30717.063279999998</v>
      </c>
      <c r="M393">
        <v>1</v>
      </c>
      <c r="R393">
        <v>32937.63766</v>
      </c>
      <c r="S393">
        <v>107541.4206</v>
      </c>
      <c r="Z393">
        <v>399858.81599999999</v>
      </c>
      <c r="AI393">
        <v>-9.8254994629999991E-3</v>
      </c>
      <c r="AJ393">
        <v>0.72765799050000002</v>
      </c>
      <c r="AM393">
        <v>-0.8792435462</v>
      </c>
      <c r="AN393">
        <v>0.32040468919999998</v>
      </c>
      <c r="AS393">
        <v>0</v>
      </c>
      <c r="AT393">
        <v>0</v>
      </c>
      <c r="BK393">
        <v>0</v>
      </c>
      <c r="BM393">
        <v>-0.47627119020000003</v>
      </c>
      <c r="BN393">
        <v>-0.60651025140000003</v>
      </c>
      <c r="CH393">
        <v>-0.68586974599999995</v>
      </c>
      <c r="CI393">
        <v>0.35252180300000002</v>
      </c>
      <c r="CK393">
        <v>-0.63664045459999996</v>
      </c>
    </row>
    <row r="394" spans="1:102" x14ac:dyDescent="0.25">
      <c r="A394" t="s">
        <v>915</v>
      </c>
      <c r="B394" t="s">
        <v>916</v>
      </c>
      <c r="C394">
        <v>1000</v>
      </c>
      <c r="D394" t="s">
        <v>111</v>
      </c>
      <c r="E394">
        <v>25</v>
      </c>
      <c r="F394">
        <v>25</v>
      </c>
      <c r="H394">
        <v>12.5</v>
      </c>
      <c r="I394">
        <v>37.5</v>
      </c>
      <c r="J394">
        <f t="shared" si="12"/>
        <v>8.375</v>
      </c>
      <c r="K394">
        <f t="shared" si="13"/>
        <v>-1.3208883431493219</v>
      </c>
      <c r="L394">
        <v>30206.05472</v>
      </c>
      <c r="M394">
        <v>1</v>
      </c>
      <c r="R394">
        <v>40090.128680000002</v>
      </c>
      <c r="S394">
        <v>73000.406600000002</v>
      </c>
      <c r="Z394">
        <v>371334.84279999998</v>
      </c>
      <c r="AI394">
        <v>7.4436710000000003E-2</v>
      </c>
      <c r="AJ394">
        <v>0.70032213899999995</v>
      </c>
      <c r="AM394">
        <v>0.88402538389999996</v>
      </c>
      <c r="AN394">
        <v>-0.37578280279999998</v>
      </c>
      <c r="AS394">
        <v>0</v>
      </c>
      <c r="AT394">
        <v>0</v>
      </c>
      <c r="BK394">
        <v>0</v>
      </c>
      <c r="BM394">
        <v>0.4614740477</v>
      </c>
      <c r="BN394">
        <v>0.6069070674</v>
      </c>
      <c r="CH394">
        <v>-0.70993526309999999</v>
      </c>
      <c r="CI394">
        <v>-0.27800432679999998</v>
      </c>
      <c r="CK394">
        <v>0.64707458210000002</v>
      </c>
    </row>
    <row r="395" spans="1:102" x14ac:dyDescent="0.25">
      <c r="A395" t="s">
        <v>917</v>
      </c>
      <c r="B395" t="s">
        <v>918</v>
      </c>
      <c r="C395">
        <v>1000</v>
      </c>
      <c r="D395" t="s">
        <v>111</v>
      </c>
      <c r="E395">
        <v>12.5</v>
      </c>
      <c r="F395">
        <v>37.5</v>
      </c>
      <c r="H395">
        <v>12.5</v>
      </c>
      <c r="I395">
        <v>37.5</v>
      </c>
      <c r="J395">
        <f t="shared" si="12"/>
        <v>8</v>
      </c>
      <c r="K395">
        <f t="shared" si="13"/>
        <v>-1.2554823251787535</v>
      </c>
      <c r="L395">
        <v>30494.97206</v>
      </c>
      <c r="M395">
        <v>1</v>
      </c>
      <c r="R395">
        <v>50895.005859999997</v>
      </c>
      <c r="S395">
        <v>74627.726550000007</v>
      </c>
      <c r="Z395">
        <v>359916.74209999997</v>
      </c>
      <c r="AI395">
        <v>-0.58508197559999997</v>
      </c>
      <c r="AJ395">
        <v>-0.31202417110000003</v>
      </c>
      <c r="AM395">
        <v>-0.6673237152</v>
      </c>
      <c r="AN395">
        <v>0.70972843490000004</v>
      </c>
      <c r="AS395">
        <v>0</v>
      </c>
      <c r="AT395">
        <v>0</v>
      </c>
      <c r="BK395">
        <v>0</v>
      </c>
      <c r="BM395">
        <v>0.46082332739999998</v>
      </c>
      <c r="BN395">
        <v>0.63160626050000002</v>
      </c>
      <c r="CH395">
        <v>0.7485452548</v>
      </c>
      <c r="CI395">
        <v>-0.22575342270000001</v>
      </c>
      <c r="CK395">
        <v>0.62347044250000005</v>
      </c>
    </row>
    <row r="396" spans="1:102" x14ac:dyDescent="0.25">
      <c r="A396" t="s">
        <v>919</v>
      </c>
      <c r="B396" t="s">
        <v>920</v>
      </c>
      <c r="C396">
        <v>1000</v>
      </c>
      <c r="D396" t="s">
        <v>128</v>
      </c>
      <c r="F396">
        <v>50</v>
      </c>
      <c r="H396">
        <v>12.5</v>
      </c>
      <c r="I396">
        <v>37.5</v>
      </c>
      <c r="J396">
        <f t="shared" si="12"/>
        <v>7.625</v>
      </c>
      <c r="K396">
        <f t="shared" si="13"/>
        <v>-0.97431475286934943</v>
      </c>
      <c r="L396">
        <v>30625.101890000002</v>
      </c>
      <c r="N396">
        <v>1</v>
      </c>
      <c r="T396">
        <v>59933.628799999999</v>
      </c>
      <c r="Y396">
        <v>296702.89520000003</v>
      </c>
      <c r="AP396">
        <v>-0.73074884210000002</v>
      </c>
      <c r="BF396">
        <v>0</v>
      </c>
      <c r="BH396">
        <v>0</v>
      </c>
      <c r="BI396">
        <v>-0.68264641680000004</v>
      </c>
      <c r="CJ396">
        <v>0.68264641640000001</v>
      </c>
      <c r="CL396">
        <v>-0.73074884169999998</v>
      </c>
    </row>
    <row r="397" spans="1:102" x14ac:dyDescent="0.25">
      <c r="A397" t="s">
        <v>921</v>
      </c>
      <c r="B397" t="s">
        <v>922</v>
      </c>
      <c r="C397">
        <v>1000</v>
      </c>
      <c r="D397" t="s">
        <v>111</v>
      </c>
      <c r="E397">
        <v>37.5</v>
      </c>
      <c r="G397">
        <v>12.5</v>
      </c>
      <c r="H397">
        <v>12.5</v>
      </c>
      <c r="I397">
        <v>37.5</v>
      </c>
      <c r="J397">
        <f t="shared" si="12"/>
        <v>8.875</v>
      </c>
      <c r="K397">
        <f t="shared" si="13"/>
        <v>-1.2554823251787535</v>
      </c>
      <c r="L397">
        <v>33497.063000000002</v>
      </c>
      <c r="M397">
        <v>1</v>
      </c>
      <c r="R397">
        <v>29879.168829999999</v>
      </c>
      <c r="S397">
        <v>74244.083069999993</v>
      </c>
      <c r="Z397">
        <v>451768.49320000003</v>
      </c>
      <c r="AJ397">
        <v>0.72114613350000001</v>
      </c>
      <c r="AK397">
        <v>-3.3694809130000003E-2</v>
      </c>
      <c r="AL397">
        <v>-0.83301768840000001</v>
      </c>
      <c r="AN397">
        <v>0.3622853144</v>
      </c>
      <c r="AS397">
        <v>0</v>
      </c>
      <c r="AT397">
        <v>0</v>
      </c>
      <c r="BK397">
        <v>0</v>
      </c>
      <c r="BL397">
        <v>-0.55221933329999995</v>
      </c>
      <c r="BN397">
        <v>-0.59050623049999995</v>
      </c>
      <c r="CH397">
        <v>-0.69196308709999998</v>
      </c>
      <c r="CI397">
        <v>0.41812782949999999</v>
      </c>
      <c r="CK397">
        <v>-0.58852034779999995</v>
      </c>
    </row>
    <row r="398" spans="1:102" x14ac:dyDescent="0.25">
      <c r="A398" t="s">
        <v>923</v>
      </c>
      <c r="B398" t="s">
        <v>924</v>
      </c>
      <c r="C398">
        <v>1000</v>
      </c>
      <c r="D398" t="s">
        <v>111</v>
      </c>
      <c r="E398">
        <v>25</v>
      </c>
      <c r="F398">
        <v>12.5</v>
      </c>
      <c r="G398">
        <v>12.5</v>
      </c>
      <c r="H398">
        <v>12.5</v>
      </c>
      <c r="I398">
        <v>37.5</v>
      </c>
      <c r="J398">
        <f t="shared" si="12"/>
        <v>8.5</v>
      </c>
      <c r="K398">
        <f t="shared" si="13"/>
        <v>-1.4941751382893083</v>
      </c>
      <c r="L398">
        <v>32244.958490000001</v>
      </c>
      <c r="M398">
        <v>1</v>
      </c>
      <c r="R398">
        <v>37683.300130000003</v>
      </c>
      <c r="S398">
        <v>74429.275009999998</v>
      </c>
      <c r="Z398">
        <v>109944.6185</v>
      </c>
      <c r="AF398">
        <v>515216.82130000001</v>
      </c>
      <c r="AI398">
        <v>-3.8607098139999997E-2</v>
      </c>
      <c r="AJ398">
        <v>-0.67375949030000004</v>
      </c>
      <c r="AK398">
        <v>-5.0784541150000001E-2</v>
      </c>
      <c r="AL398">
        <v>-0.84708447200000003</v>
      </c>
      <c r="AM398">
        <v>0.15434143689999999</v>
      </c>
      <c r="AN398">
        <v>0.3992271858</v>
      </c>
      <c r="AS398">
        <v>0</v>
      </c>
      <c r="AT398">
        <v>0</v>
      </c>
      <c r="BK398">
        <v>0</v>
      </c>
      <c r="BL398">
        <v>0.1053237165</v>
      </c>
      <c r="BM398">
        <v>-0.88916419849999995</v>
      </c>
      <c r="BN398">
        <v>0.34740252599999999</v>
      </c>
      <c r="CH398">
        <v>0.73619193930000004</v>
      </c>
      <c r="CI398">
        <v>0.31503058950000001</v>
      </c>
      <c r="CK398">
        <v>0.2785775077</v>
      </c>
      <c r="CT398">
        <v>-0.53025628349999998</v>
      </c>
      <c r="CU398">
        <v>0</v>
      </c>
      <c r="CV398">
        <v>-0.51843586129999997</v>
      </c>
      <c r="CW398">
        <v>-0.4290399043</v>
      </c>
      <c r="CX398">
        <v>-0.51572986350000005</v>
      </c>
    </row>
    <row r="399" spans="1:102" x14ac:dyDescent="0.25">
      <c r="A399" t="s">
        <v>925</v>
      </c>
      <c r="B399" t="s">
        <v>926</v>
      </c>
      <c r="C399">
        <v>1000</v>
      </c>
      <c r="D399" t="s">
        <v>111</v>
      </c>
      <c r="E399">
        <v>12.5</v>
      </c>
      <c r="F399">
        <v>25</v>
      </c>
      <c r="G399">
        <v>12.5</v>
      </c>
      <c r="H399">
        <v>12.5</v>
      </c>
      <c r="I399">
        <v>37.5</v>
      </c>
      <c r="J399">
        <f t="shared" si="12"/>
        <v>8.125</v>
      </c>
      <c r="K399">
        <f t="shared" si="13"/>
        <v>-1.4941751382893083</v>
      </c>
      <c r="L399">
        <v>32058.069169999999</v>
      </c>
      <c r="M399">
        <v>1</v>
      </c>
      <c r="R399">
        <v>50538.708059999997</v>
      </c>
      <c r="S399">
        <v>65535.352859999999</v>
      </c>
      <c r="Z399">
        <v>97188.202919999996</v>
      </c>
      <c r="AF399">
        <v>494881.75530000002</v>
      </c>
      <c r="AI399">
        <v>0.21759979260000001</v>
      </c>
      <c r="AJ399">
        <v>0.42736347790000001</v>
      </c>
      <c r="AK399">
        <v>0.23688261829999999</v>
      </c>
      <c r="AL399">
        <v>-0.65051103590000003</v>
      </c>
      <c r="AM399">
        <v>0.75870898330000003</v>
      </c>
      <c r="AN399">
        <v>2.3824249400000001E-2</v>
      </c>
      <c r="AS399">
        <v>0</v>
      </c>
      <c r="AT399">
        <v>0</v>
      </c>
      <c r="BK399">
        <v>0</v>
      </c>
      <c r="BL399">
        <v>-0.4936133922</v>
      </c>
      <c r="BM399">
        <v>-0.45017054670000001</v>
      </c>
      <c r="BN399">
        <v>0.73479571629999996</v>
      </c>
      <c r="CH399">
        <v>-0.84492450149999998</v>
      </c>
      <c r="CI399">
        <v>2.5069421719999999E-2</v>
      </c>
      <c r="CK399">
        <v>0.1173352173</v>
      </c>
      <c r="CT399">
        <v>-0.52125478960000005</v>
      </c>
      <c r="CU399">
        <v>0</v>
      </c>
      <c r="CV399">
        <v>-0.52637233709999998</v>
      </c>
      <c r="CW399">
        <v>-0.41756135599999999</v>
      </c>
      <c r="CX399">
        <v>-0.52618259280000002</v>
      </c>
    </row>
    <row r="400" spans="1:102" x14ac:dyDescent="0.25">
      <c r="A400" t="s">
        <v>927</v>
      </c>
      <c r="B400" t="s">
        <v>928</v>
      </c>
      <c r="C400">
        <v>1000</v>
      </c>
      <c r="D400" t="s">
        <v>111</v>
      </c>
      <c r="F400">
        <v>37.5</v>
      </c>
      <c r="G400">
        <v>12.5</v>
      </c>
      <c r="H400">
        <v>12.5</v>
      </c>
      <c r="I400">
        <v>37.5</v>
      </c>
      <c r="J400">
        <f t="shared" si="12"/>
        <v>7.75</v>
      </c>
      <c r="K400">
        <f t="shared" si="13"/>
        <v>-1.2554823251787535</v>
      </c>
      <c r="L400">
        <v>32461.72323</v>
      </c>
      <c r="M400">
        <v>1</v>
      </c>
      <c r="R400">
        <v>51524.613230000003</v>
      </c>
      <c r="S400">
        <v>61254.746639999998</v>
      </c>
      <c r="Z400">
        <v>376759.12170000002</v>
      </c>
      <c r="AI400">
        <v>-0.85859075610000002</v>
      </c>
      <c r="AK400">
        <v>0.36413058949999999</v>
      </c>
      <c r="AL400">
        <v>-0.67568664170000003</v>
      </c>
      <c r="AM400">
        <v>2.3119491480000001E-2</v>
      </c>
      <c r="AS400">
        <v>0</v>
      </c>
      <c r="AT400">
        <v>0</v>
      </c>
      <c r="BK400">
        <v>0</v>
      </c>
      <c r="BL400">
        <v>-0.64097476819999999</v>
      </c>
      <c r="BM400">
        <v>-0.51213853060000003</v>
      </c>
      <c r="CH400">
        <v>0.36087508550000003</v>
      </c>
      <c r="CI400">
        <v>0.73682633730000002</v>
      </c>
      <c r="CK400">
        <v>-0.5717214987</v>
      </c>
    </row>
    <row r="401" spans="1:102" x14ac:dyDescent="0.25">
      <c r="A401" t="s">
        <v>929</v>
      </c>
      <c r="B401" t="s">
        <v>930</v>
      </c>
      <c r="C401">
        <v>1000</v>
      </c>
      <c r="D401" t="s">
        <v>111</v>
      </c>
      <c r="E401">
        <v>25</v>
      </c>
      <c r="G401">
        <v>25</v>
      </c>
      <c r="H401">
        <v>12.5</v>
      </c>
      <c r="I401">
        <v>37.5</v>
      </c>
      <c r="J401">
        <f t="shared" si="12"/>
        <v>8.625</v>
      </c>
      <c r="K401">
        <f t="shared" si="13"/>
        <v>-1.3208883431493219</v>
      </c>
      <c r="L401">
        <v>34677.804150000004</v>
      </c>
      <c r="M401">
        <v>1</v>
      </c>
      <c r="R401">
        <v>34901.417450000001</v>
      </c>
      <c r="S401">
        <v>44851.644010000004</v>
      </c>
      <c r="Z401">
        <v>434621.26289999997</v>
      </c>
      <c r="AJ401">
        <v>0.71831185900000005</v>
      </c>
      <c r="AK401">
        <v>-6.5186722890000007E-2</v>
      </c>
      <c r="AL401">
        <v>-0.84883115129999998</v>
      </c>
      <c r="AN401">
        <v>0.32502550390000001</v>
      </c>
      <c r="AS401">
        <v>0</v>
      </c>
      <c r="AT401">
        <v>0</v>
      </c>
      <c r="BK401">
        <v>0</v>
      </c>
      <c r="BL401">
        <v>-0.5246297473</v>
      </c>
      <c r="BN401">
        <v>-0.61513128340000001</v>
      </c>
      <c r="CH401">
        <v>-0.69266064159999996</v>
      </c>
      <c r="CI401">
        <v>0.41694615759999998</v>
      </c>
      <c r="CK401">
        <v>-0.58853813160000001</v>
      </c>
    </row>
    <row r="402" spans="1:102" x14ac:dyDescent="0.25">
      <c r="A402" t="s">
        <v>931</v>
      </c>
      <c r="B402" t="s">
        <v>932</v>
      </c>
      <c r="C402">
        <v>1000</v>
      </c>
      <c r="D402" t="s">
        <v>111</v>
      </c>
      <c r="E402">
        <v>12.5</v>
      </c>
      <c r="F402">
        <v>12.5</v>
      </c>
      <c r="G402">
        <v>25</v>
      </c>
      <c r="H402">
        <v>12.5</v>
      </c>
      <c r="I402">
        <v>37.5</v>
      </c>
      <c r="J402">
        <f t="shared" si="12"/>
        <v>8.25</v>
      </c>
      <c r="K402">
        <f t="shared" si="13"/>
        <v>-1.4941751382893083</v>
      </c>
      <c r="L402">
        <v>33822.341899999999</v>
      </c>
      <c r="M402">
        <v>1</v>
      </c>
      <c r="R402">
        <v>40497.89976</v>
      </c>
      <c r="S402">
        <v>56036.876210000002</v>
      </c>
      <c r="Z402">
        <v>118970.7022</v>
      </c>
      <c r="AF402">
        <v>514626.65100000001</v>
      </c>
      <c r="AI402">
        <v>-0.1495283754</v>
      </c>
      <c r="AJ402">
        <v>4.6362796150000003E-2</v>
      </c>
      <c r="AK402">
        <v>0.75924921619999997</v>
      </c>
      <c r="AL402">
        <v>-0.4349754576</v>
      </c>
      <c r="AM402">
        <v>0.33005569550000002</v>
      </c>
      <c r="AN402">
        <v>0.6276763044</v>
      </c>
      <c r="AS402">
        <v>0</v>
      </c>
      <c r="AT402">
        <v>0</v>
      </c>
      <c r="BK402">
        <v>0</v>
      </c>
      <c r="BL402">
        <v>-4.4785256349999997E-2</v>
      </c>
      <c r="BM402">
        <v>-0.81177437259999996</v>
      </c>
      <c r="BN402">
        <v>0.55405628510000005</v>
      </c>
      <c r="CH402">
        <v>-0.63169010110000001</v>
      </c>
      <c r="CI402">
        <v>-0.55487119770000004</v>
      </c>
      <c r="CK402">
        <v>0.17899240699999999</v>
      </c>
      <c r="CT402">
        <v>-0.51092787159999997</v>
      </c>
      <c r="CU402">
        <v>0</v>
      </c>
      <c r="CV402">
        <v>-0.48200752879999997</v>
      </c>
      <c r="CW402">
        <v>-0.4579594615</v>
      </c>
      <c r="CX402">
        <v>-0.54488033899999999</v>
      </c>
    </row>
    <row r="403" spans="1:102" x14ac:dyDescent="0.25">
      <c r="A403" t="s">
        <v>933</v>
      </c>
      <c r="B403" t="s">
        <v>934</v>
      </c>
      <c r="C403">
        <v>1000</v>
      </c>
      <c r="D403" t="s">
        <v>111</v>
      </c>
      <c r="F403">
        <v>25</v>
      </c>
      <c r="G403">
        <v>25</v>
      </c>
      <c r="H403">
        <v>12.5</v>
      </c>
      <c r="I403">
        <v>37.5</v>
      </c>
      <c r="J403">
        <f t="shared" si="12"/>
        <v>7.875</v>
      </c>
      <c r="K403">
        <f t="shared" si="13"/>
        <v>-1.3208883431493219</v>
      </c>
      <c r="L403">
        <v>33826.80457</v>
      </c>
      <c r="M403">
        <v>1</v>
      </c>
      <c r="R403">
        <v>36036.917249999999</v>
      </c>
      <c r="S403">
        <v>61114.167549999998</v>
      </c>
      <c r="Z403">
        <v>373276.40379999997</v>
      </c>
      <c r="AI403">
        <v>0.40534088099999999</v>
      </c>
      <c r="AK403">
        <v>-0.8099362913</v>
      </c>
      <c r="AL403">
        <v>-2.438360674E-3</v>
      </c>
      <c r="AM403">
        <v>0.72043343469999999</v>
      </c>
      <c r="AS403">
        <v>0</v>
      </c>
      <c r="AT403">
        <v>0</v>
      </c>
      <c r="BK403">
        <v>0</v>
      </c>
      <c r="BL403">
        <v>0.58651222000000003</v>
      </c>
      <c r="BM403">
        <v>0.56273954029999995</v>
      </c>
      <c r="CH403">
        <v>0.42391269650000002</v>
      </c>
      <c r="CI403">
        <v>-0.69351980540000002</v>
      </c>
      <c r="CK403">
        <v>0.58251834790000001</v>
      </c>
    </row>
    <row r="404" spans="1:102" x14ac:dyDescent="0.25">
      <c r="A404" t="s">
        <v>935</v>
      </c>
      <c r="B404" t="s">
        <v>936</v>
      </c>
      <c r="C404">
        <v>1000</v>
      </c>
      <c r="D404" t="s">
        <v>111</v>
      </c>
      <c r="E404">
        <v>12.5</v>
      </c>
      <c r="G404">
        <v>37.5</v>
      </c>
      <c r="H404">
        <v>12.5</v>
      </c>
      <c r="I404">
        <v>37.5</v>
      </c>
      <c r="J404">
        <f t="shared" si="12"/>
        <v>8.375</v>
      </c>
      <c r="K404">
        <f t="shared" si="13"/>
        <v>-1.2554823251787535</v>
      </c>
      <c r="L404">
        <v>35786.880429999997</v>
      </c>
      <c r="M404">
        <v>1</v>
      </c>
      <c r="R404">
        <v>36071.699359999999</v>
      </c>
      <c r="S404">
        <v>56029.62369</v>
      </c>
      <c r="Z404">
        <v>442197.58980000002</v>
      </c>
      <c r="AJ404">
        <v>-5.2328000489999998E-2</v>
      </c>
      <c r="AK404">
        <v>0.7696752657</v>
      </c>
      <c r="AL404">
        <v>0.38815542710000001</v>
      </c>
      <c r="AN404">
        <v>-0.75292539270000003</v>
      </c>
      <c r="AS404">
        <v>0</v>
      </c>
      <c r="AT404">
        <v>0</v>
      </c>
      <c r="BK404">
        <v>0</v>
      </c>
      <c r="BL404">
        <v>0.5068864045</v>
      </c>
      <c r="BN404">
        <v>0.65602218150000002</v>
      </c>
      <c r="CH404">
        <v>-0.63628748670000002</v>
      </c>
      <c r="CI404">
        <v>0.53144963769999998</v>
      </c>
      <c r="CK404">
        <v>0.55919680819999995</v>
      </c>
    </row>
    <row r="405" spans="1:102" x14ac:dyDescent="0.25">
      <c r="A405" t="s">
        <v>937</v>
      </c>
      <c r="B405" t="s">
        <v>938</v>
      </c>
      <c r="C405">
        <v>1000</v>
      </c>
      <c r="D405" t="s">
        <v>111</v>
      </c>
      <c r="F405">
        <v>12.5</v>
      </c>
      <c r="G405">
        <v>37.5</v>
      </c>
      <c r="H405">
        <v>12.5</v>
      </c>
      <c r="I405">
        <v>37.5</v>
      </c>
      <c r="J405">
        <f t="shared" si="12"/>
        <v>8</v>
      </c>
      <c r="K405">
        <f t="shared" si="13"/>
        <v>-1.2554823251787535</v>
      </c>
      <c r="L405">
        <v>35189.450510000002</v>
      </c>
      <c r="M405">
        <v>1</v>
      </c>
      <c r="R405">
        <v>31765.395059999999</v>
      </c>
      <c r="S405">
        <v>83601.476599999995</v>
      </c>
      <c r="Z405">
        <v>392353.3591</v>
      </c>
      <c r="AI405">
        <v>0.22518413819999999</v>
      </c>
      <c r="AK405">
        <v>-0.8068890245</v>
      </c>
      <c r="AL405">
        <v>-0.21935071440000001</v>
      </c>
      <c r="AM405">
        <v>0.74416246279999998</v>
      </c>
      <c r="AS405">
        <v>0</v>
      </c>
      <c r="AT405">
        <v>0</v>
      </c>
      <c r="BK405">
        <v>0</v>
      </c>
      <c r="BL405">
        <v>0.54846599360000003</v>
      </c>
      <c r="BM405">
        <v>0.62889884370000004</v>
      </c>
      <c r="CH405">
        <v>0.54609724959999995</v>
      </c>
      <c r="CI405">
        <v>-0.63095760010000002</v>
      </c>
      <c r="CK405">
        <v>0.55106378789999999</v>
      </c>
    </row>
    <row r="406" spans="1:102" x14ac:dyDescent="0.25">
      <c r="A406" t="s">
        <v>939</v>
      </c>
      <c r="B406" t="s">
        <v>940</v>
      </c>
      <c r="C406">
        <v>1000</v>
      </c>
      <c r="D406" t="s">
        <v>111</v>
      </c>
      <c r="G406">
        <v>50</v>
      </c>
      <c r="H406">
        <v>12.5</v>
      </c>
      <c r="I406">
        <v>37.5</v>
      </c>
      <c r="J406">
        <f t="shared" si="12"/>
        <v>8.125</v>
      </c>
      <c r="K406">
        <f t="shared" si="13"/>
        <v>-0.97431475286934943</v>
      </c>
      <c r="L406">
        <v>36555.5121</v>
      </c>
      <c r="M406">
        <v>1</v>
      </c>
      <c r="R406">
        <v>33324.78557</v>
      </c>
      <c r="S406">
        <v>267998.28710000002</v>
      </c>
      <c r="AK406">
        <v>-0.73736811920000001</v>
      </c>
      <c r="AL406">
        <v>-0.67549007429999997</v>
      </c>
      <c r="AS406">
        <v>0</v>
      </c>
      <c r="AT406">
        <v>0</v>
      </c>
      <c r="CH406">
        <v>0.6754911227</v>
      </c>
      <c r="CI406">
        <v>-0.73736907959999998</v>
      </c>
    </row>
    <row r="407" spans="1:102" x14ac:dyDescent="0.25">
      <c r="A407" t="s">
        <v>941</v>
      </c>
      <c r="B407" t="s">
        <v>942</v>
      </c>
      <c r="C407">
        <v>1000</v>
      </c>
      <c r="D407" t="s">
        <v>111</v>
      </c>
      <c r="E407">
        <v>37.5</v>
      </c>
      <c r="H407">
        <v>25</v>
      </c>
      <c r="I407">
        <v>37.5</v>
      </c>
      <c r="J407">
        <f t="shared" si="12"/>
        <v>8.625</v>
      </c>
      <c r="K407">
        <f t="shared" si="13"/>
        <v>-1.0821955300387671</v>
      </c>
      <c r="L407">
        <v>33350.362670000002</v>
      </c>
      <c r="M407">
        <v>1</v>
      </c>
      <c r="R407">
        <v>36690.227709999999</v>
      </c>
      <c r="S407">
        <v>238388.55850000001</v>
      </c>
      <c r="AJ407">
        <v>0.71608675690000001</v>
      </c>
      <c r="AN407">
        <v>0.69800958899999999</v>
      </c>
      <c r="AS407">
        <v>0</v>
      </c>
      <c r="AT407">
        <v>0</v>
      </c>
      <c r="CH407">
        <v>-0.69801128690000003</v>
      </c>
      <c r="CI407">
        <v>0.71608841190000005</v>
      </c>
    </row>
    <row r="408" spans="1:102" x14ac:dyDescent="0.25">
      <c r="A408" t="s">
        <v>943</v>
      </c>
      <c r="B408" t="s">
        <v>944</v>
      </c>
      <c r="C408">
        <v>1000</v>
      </c>
      <c r="D408" t="s">
        <v>111</v>
      </c>
      <c r="E408">
        <v>25</v>
      </c>
      <c r="F408">
        <v>12.5</v>
      </c>
      <c r="H408">
        <v>25</v>
      </c>
      <c r="I408">
        <v>37.5</v>
      </c>
      <c r="J408">
        <f t="shared" si="12"/>
        <v>8.25</v>
      </c>
      <c r="K408">
        <f t="shared" si="13"/>
        <v>-1.3208883431493219</v>
      </c>
      <c r="L408">
        <v>31977.376980000001</v>
      </c>
      <c r="M408">
        <v>1</v>
      </c>
      <c r="R408">
        <v>44379.31035</v>
      </c>
      <c r="S408">
        <v>104814.0943</v>
      </c>
      <c r="Z408">
        <v>244149.15169999999</v>
      </c>
      <c r="AI408">
        <v>-6.8358267249999993E-2</v>
      </c>
      <c r="AJ408">
        <v>0.73181712600000004</v>
      </c>
      <c r="AM408">
        <v>0.87576413789999996</v>
      </c>
      <c r="AN408">
        <v>-0.28153452670000001</v>
      </c>
      <c r="AS408">
        <v>0</v>
      </c>
      <c r="AT408">
        <v>0</v>
      </c>
      <c r="BK408">
        <v>0</v>
      </c>
      <c r="BM408">
        <v>-0.47787479770000002</v>
      </c>
      <c r="BN408">
        <v>-0.62063033040000004</v>
      </c>
      <c r="CH408">
        <v>-0.67806403930000003</v>
      </c>
      <c r="CI408">
        <v>-0.3921421745</v>
      </c>
      <c r="CK408">
        <v>-0.62165397980000003</v>
      </c>
    </row>
    <row r="409" spans="1:102" x14ac:dyDescent="0.25">
      <c r="A409" t="s">
        <v>945</v>
      </c>
      <c r="B409" t="s">
        <v>946</v>
      </c>
      <c r="C409">
        <v>1000</v>
      </c>
      <c r="D409" t="s">
        <v>111</v>
      </c>
      <c r="E409">
        <v>12.5</v>
      </c>
      <c r="F409">
        <v>25</v>
      </c>
      <c r="H409">
        <v>25</v>
      </c>
      <c r="I409">
        <v>37.5</v>
      </c>
      <c r="J409">
        <f t="shared" si="12"/>
        <v>7.875</v>
      </c>
      <c r="K409">
        <f t="shared" si="13"/>
        <v>-1.3208883431493219</v>
      </c>
      <c r="L409">
        <v>31351.983130000001</v>
      </c>
      <c r="M409">
        <v>1</v>
      </c>
      <c r="R409">
        <v>63290.973870000002</v>
      </c>
      <c r="S409">
        <v>74902.799419999996</v>
      </c>
      <c r="Z409">
        <v>228328.33199999999</v>
      </c>
      <c r="AI409">
        <v>0.37038314830000002</v>
      </c>
      <c r="AJ409">
        <v>0.47247191630000002</v>
      </c>
      <c r="AM409">
        <v>-0.83444099299999996</v>
      </c>
      <c r="AN409">
        <v>0.54748319970000003</v>
      </c>
      <c r="AS409">
        <v>0</v>
      </c>
      <c r="AT409">
        <v>0</v>
      </c>
      <c r="BK409">
        <v>0</v>
      </c>
      <c r="BM409">
        <v>-0.40807419750000001</v>
      </c>
      <c r="BN409">
        <v>-0.69067535030000005</v>
      </c>
      <c r="CH409">
        <v>-0.79974159060000005</v>
      </c>
      <c r="CI409">
        <v>-6.3010913490000001E-2</v>
      </c>
      <c r="CK409">
        <v>-0.59702848330000002</v>
      </c>
    </row>
    <row r="410" spans="1:102" x14ac:dyDescent="0.25">
      <c r="A410" t="s">
        <v>947</v>
      </c>
      <c r="B410" t="s">
        <v>948</v>
      </c>
      <c r="C410">
        <v>1000</v>
      </c>
      <c r="D410" t="s">
        <v>215</v>
      </c>
      <c r="F410">
        <v>37.5</v>
      </c>
      <c r="H410">
        <v>25</v>
      </c>
      <c r="I410">
        <v>37.5</v>
      </c>
      <c r="J410">
        <f t="shared" si="12"/>
        <v>7.5</v>
      </c>
      <c r="K410">
        <f t="shared" si="13"/>
        <v>-1.0821955300387671</v>
      </c>
      <c r="L410">
        <v>29932.05083</v>
      </c>
      <c r="M410">
        <v>0.65426473439999999</v>
      </c>
      <c r="P410">
        <v>0.34573526560000001</v>
      </c>
      <c r="R410">
        <v>56407.274920000003</v>
      </c>
      <c r="S410">
        <v>162361.66829999999</v>
      </c>
      <c r="W410">
        <v>63780.198429999997</v>
      </c>
      <c r="X410">
        <v>161620.77309999999</v>
      </c>
      <c r="AI410">
        <v>-0.77468297959999999</v>
      </c>
      <c r="AM410">
        <v>-0.6323498099</v>
      </c>
      <c r="AS410">
        <v>0</v>
      </c>
      <c r="AT410">
        <v>0</v>
      </c>
      <c r="AZ410">
        <v>0</v>
      </c>
      <c r="BA410">
        <v>-0.87586210909999995</v>
      </c>
      <c r="BC410">
        <v>0</v>
      </c>
      <c r="BD410">
        <v>-0.4825614701</v>
      </c>
      <c r="CH410">
        <v>0.63234980910000005</v>
      </c>
      <c r="CI410">
        <v>-0.77468297900000005</v>
      </c>
      <c r="CQ410">
        <v>0.48256146329999999</v>
      </c>
      <c r="CR410">
        <v>-0.87586210529999997</v>
      </c>
    </row>
    <row r="411" spans="1:102" x14ac:dyDescent="0.25">
      <c r="A411" t="s">
        <v>949</v>
      </c>
      <c r="B411" t="s">
        <v>950</v>
      </c>
      <c r="C411">
        <v>1000</v>
      </c>
      <c r="D411" t="s">
        <v>111</v>
      </c>
      <c r="E411">
        <v>25</v>
      </c>
      <c r="G411">
        <v>12.5</v>
      </c>
      <c r="H411">
        <v>25</v>
      </c>
      <c r="I411">
        <v>37.5</v>
      </c>
      <c r="J411">
        <f t="shared" si="12"/>
        <v>8.375</v>
      </c>
      <c r="K411">
        <f t="shared" si="13"/>
        <v>-1.3208883431493219</v>
      </c>
      <c r="L411">
        <v>35231.123290000003</v>
      </c>
      <c r="M411">
        <v>1</v>
      </c>
      <c r="R411">
        <v>41514.340040000003</v>
      </c>
      <c r="S411">
        <v>72470.508539999995</v>
      </c>
      <c r="Z411">
        <v>296680.60629999998</v>
      </c>
      <c r="AJ411">
        <v>0.7157230296</v>
      </c>
      <c r="AK411">
        <v>-6.4254756199999999E-2</v>
      </c>
      <c r="AL411">
        <v>-0.82960995230000001</v>
      </c>
      <c r="AN411">
        <v>0.34899286530000001</v>
      </c>
      <c r="AS411">
        <v>0</v>
      </c>
      <c r="AT411">
        <v>0</v>
      </c>
      <c r="BK411">
        <v>0</v>
      </c>
      <c r="BL411">
        <v>-0.55463380240000004</v>
      </c>
      <c r="BN411">
        <v>-0.60493349060000001</v>
      </c>
      <c r="CH411">
        <v>-0.69542208139999995</v>
      </c>
      <c r="CI411">
        <v>0.4358340362</v>
      </c>
      <c r="CK411">
        <v>-0.57134649479999999</v>
      </c>
    </row>
    <row r="412" spans="1:102" x14ac:dyDescent="0.25">
      <c r="A412" t="s">
        <v>951</v>
      </c>
      <c r="B412" t="s">
        <v>952</v>
      </c>
      <c r="C412">
        <v>1000</v>
      </c>
      <c r="D412" t="s">
        <v>111</v>
      </c>
      <c r="E412">
        <v>12.5</v>
      </c>
      <c r="F412">
        <v>12.5</v>
      </c>
      <c r="G412">
        <v>12.5</v>
      </c>
      <c r="H412">
        <v>25</v>
      </c>
      <c r="I412">
        <v>37.5</v>
      </c>
      <c r="J412">
        <f t="shared" si="12"/>
        <v>8</v>
      </c>
      <c r="K412">
        <f t="shared" si="13"/>
        <v>-1.4941751382893083</v>
      </c>
      <c r="L412">
        <v>34064.532189999998</v>
      </c>
      <c r="M412">
        <v>1</v>
      </c>
      <c r="R412">
        <v>57548.604720000003</v>
      </c>
      <c r="S412">
        <v>79796.970740000004</v>
      </c>
      <c r="Z412">
        <v>111081.76949999999</v>
      </c>
      <c r="AF412">
        <v>317043.15139999997</v>
      </c>
      <c r="AI412">
        <v>-1.505468802E-2</v>
      </c>
      <c r="AJ412">
        <v>0.41771327959999999</v>
      </c>
      <c r="AK412">
        <v>0.34840234139999998</v>
      </c>
      <c r="AL412">
        <v>-0.78394195840000003</v>
      </c>
      <c r="AM412">
        <v>0.31375274739999998</v>
      </c>
      <c r="AN412">
        <v>0.53157310049999995</v>
      </c>
      <c r="AS412">
        <v>0</v>
      </c>
      <c r="AT412">
        <v>0</v>
      </c>
      <c r="BK412">
        <v>0</v>
      </c>
      <c r="BL412">
        <v>3.6300197329999999E-2</v>
      </c>
      <c r="BM412">
        <v>0.84634477149999998</v>
      </c>
      <c r="BN412">
        <v>-0.47565451619999999</v>
      </c>
      <c r="CH412">
        <v>-0.83899033420000002</v>
      </c>
      <c r="CI412">
        <v>-6.6515097999999995E-2</v>
      </c>
      <c r="CK412">
        <v>-0.23692953529999999</v>
      </c>
      <c r="CT412">
        <v>0.48531984709999998</v>
      </c>
      <c r="CU412">
        <v>0</v>
      </c>
      <c r="CV412">
        <v>0.51257497959999998</v>
      </c>
      <c r="CW412">
        <v>0.43015473259999998</v>
      </c>
      <c r="CX412">
        <v>0.56275966659999999</v>
      </c>
    </row>
    <row r="413" spans="1:102" x14ac:dyDescent="0.25">
      <c r="A413" t="s">
        <v>953</v>
      </c>
      <c r="B413" t="s">
        <v>954</v>
      </c>
      <c r="C413">
        <v>1000</v>
      </c>
      <c r="D413" t="s">
        <v>215</v>
      </c>
      <c r="F413">
        <v>25</v>
      </c>
      <c r="G413">
        <v>12.5</v>
      </c>
      <c r="H413">
        <v>25</v>
      </c>
      <c r="I413">
        <v>37.5</v>
      </c>
      <c r="J413">
        <f t="shared" si="12"/>
        <v>7.625</v>
      </c>
      <c r="K413">
        <f t="shared" si="13"/>
        <v>-1.3208883431493219</v>
      </c>
      <c r="L413">
        <v>33002.145190000003</v>
      </c>
      <c r="M413">
        <v>0.81708613460000001</v>
      </c>
      <c r="P413">
        <v>0.18291386539999999</v>
      </c>
      <c r="R413">
        <v>59843.434670000002</v>
      </c>
      <c r="S413">
        <v>65017.434630000003</v>
      </c>
      <c r="W413">
        <v>64981.076509999999</v>
      </c>
      <c r="X413">
        <v>82439.092350000006</v>
      </c>
      <c r="Z413">
        <v>246700.8584</v>
      </c>
      <c r="AA413">
        <v>213362.704</v>
      </c>
      <c r="AI413">
        <v>0.54489803830000005</v>
      </c>
      <c r="AK413">
        <v>-0.74326093689999995</v>
      </c>
      <c r="AL413">
        <v>-8.9999897339999996E-2</v>
      </c>
      <c r="AM413">
        <v>-0.65635732449999995</v>
      </c>
      <c r="AS413">
        <v>0</v>
      </c>
      <c r="AT413">
        <v>0</v>
      </c>
      <c r="AZ413">
        <v>0</v>
      </c>
      <c r="BA413">
        <v>0.8373147822</v>
      </c>
      <c r="BC413">
        <v>0</v>
      </c>
      <c r="BD413">
        <v>-0.28997099850000002</v>
      </c>
      <c r="BK413">
        <v>0</v>
      </c>
      <c r="BL413">
        <v>-0.66291784210000004</v>
      </c>
      <c r="BM413">
        <v>-0.52181598780000005</v>
      </c>
      <c r="BO413">
        <v>-0.54567032609999999</v>
      </c>
      <c r="BP413">
        <v>-0.49577813520000003</v>
      </c>
      <c r="BQ413">
        <v>0</v>
      </c>
      <c r="BR413">
        <v>0.67560930590000001</v>
      </c>
      <c r="BS413">
        <v>0.4634876362</v>
      </c>
      <c r="CH413">
        <v>0.38813568189999997</v>
      </c>
      <c r="CI413">
        <v>0.74906280179999996</v>
      </c>
      <c r="CK413">
        <v>-0.5368873341</v>
      </c>
      <c r="CQ413">
        <v>-3.3879946799999998E-2</v>
      </c>
      <c r="CR413">
        <v>0.81860910129999997</v>
      </c>
      <c r="CS413">
        <v>0.57335091949999994</v>
      </c>
    </row>
    <row r="414" spans="1:102" x14ac:dyDescent="0.25">
      <c r="A414" t="s">
        <v>955</v>
      </c>
      <c r="B414" t="s">
        <v>956</v>
      </c>
      <c r="C414">
        <v>1000</v>
      </c>
      <c r="D414" t="s">
        <v>111</v>
      </c>
      <c r="E414">
        <v>12.5</v>
      </c>
      <c r="G414">
        <v>25</v>
      </c>
      <c r="H414">
        <v>25</v>
      </c>
      <c r="I414">
        <v>37.5</v>
      </c>
      <c r="J414">
        <f t="shared" si="12"/>
        <v>8.125</v>
      </c>
      <c r="K414">
        <f t="shared" si="13"/>
        <v>-1.3208883431493219</v>
      </c>
      <c r="L414">
        <v>36839.997779999998</v>
      </c>
      <c r="M414">
        <v>1</v>
      </c>
      <c r="R414">
        <v>44444.644330000003</v>
      </c>
      <c r="S414">
        <v>60116.338530000001</v>
      </c>
      <c r="Z414">
        <v>289424.01260000002</v>
      </c>
      <c r="AJ414">
        <v>9.6912012189999994E-2</v>
      </c>
      <c r="AK414">
        <v>-0.80486502179999997</v>
      </c>
      <c r="AL414">
        <v>0.35487408949999999</v>
      </c>
      <c r="AN414">
        <v>-0.71214101379999994</v>
      </c>
      <c r="AS414">
        <v>0</v>
      </c>
      <c r="AT414">
        <v>0</v>
      </c>
      <c r="BK414">
        <v>0</v>
      </c>
      <c r="BL414">
        <v>0.47565542830000002</v>
      </c>
      <c r="BN414">
        <v>0.69531414329999996</v>
      </c>
      <c r="CH414">
        <v>0.58549155289999999</v>
      </c>
      <c r="CI414">
        <v>0.60573885220000001</v>
      </c>
      <c r="CK414">
        <v>0.53878581609999998</v>
      </c>
    </row>
    <row r="415" spans="1:102" x14ac:dyDescent="0.25">
      <c r="A415" t="s">
        <v>957</v>
      </c>
      <c r="B415" t="s">
        <v>958</v>
      </c>
      <c r="C415">
        <v>1000</v>
      </c>
      <c r="D415" t="s">
        <v>215</v>
      </c>
      <c r="F415">
        <v>12.5</v>
      </c>
      <c r="G415">
        <v>25</v>
      </c>
      <c r="H415">
        <v>25</v>
      </c>
      <c r="I415">
        <v>37.5</v>
      </c>
      <c r="J415">
        <f t="shared" si="12"/>
        <v>7.75</v>
      </c>
      <c r="K415">
        <f t="shared" si="13"/>
        <v>-1.3208883431493219</v>
      </c>
      <c r="L415">
        <v>35618.349289999998</v>
      </c>
      <c r="M415">
        <v>0.94180717530000002</v>
      </c>
      <c r="P415">
        <v>5.8192824669999997E-2</v>
      </c>
      <c r="R415">
        <v>40279.902569999998</v>
      </c>
      <c r="S415">
        <v>86620.480179999999</v>
      </c>
      <c r="W415">
        <v>51706.564960000003</v>
      </c>
      <c r="X415">
        <v>100476.2347</v>
      </c>
      <c r="Z415">
        <v>245550.62959999999</v>
      </c>
      <c r="AA415">
        <v>198581.22810000001</v>
      </c>
      <c r="AI415">
        <v>0.22623435250000001</v>
      </c>
      <c r="AK415">
        <v>-0.80643083930000004</v>
      </c>
      <c r="AL415">
        <v>-0.25460202980000002</v>
      </c>
      <c r="AM415">
        <v>0.70105578940000002</v>
      </c>
      <c r="AS415">
        <v>0</v>
      </c>
      <c r="AT415">
        <v>0</v>
      </c>
      <c r="AZ415">
        <v>0</v>
      </c>
      <c r="BA415">
        <v>0.2633710709</v>
      </c>
      <c r="BC415">
        <v>0</v>
      </c>
      <c r="BD415">
        <v>0.67158447880000005</v>
      </c>
      <c r="BK415">
        <v>0</v>
      </c>
      <c r="BL415">
        <v>0.53371076439999998</v>
      </c>
      <c r="BM415">
        <v>0.67626753100000003</v>
      </c>
      <c r="BO415">
        <v>-0.84509812340000001</v>
      </c>
      <c r="BP415">
        <v>-0.1855900241</v>
      </c>
      <c r="BQ415">
        <v>0</v>
      </c>
      <c r="BR415">
        <v>0.5013636521</v>
      </c>
      <c r="BS415">
        <v>0.69253878849999995</v>
      </c>
      <c r="CH415">
        <v>0.54633993000000003</v>
      </c>
      <c r="CI415">
        <v>-0.66610703839999996</v>
      </c>
      <c r="CK415">
        <v>0.5077549079</v>
      </c>
      <c r="CQ415">
        <v>0.46523632790000002</v>
      </c>
      <c r="CR415">
        <v>-0.71730790509999998</v>
      </c>
      <c r="CS415">
        <v>0.51867573180000004</v>
      </c>
    </row>
    <row r="416" spans="1:102" x14ac:dyDescent="0.25">
      <c r="A416" t="s">
        <v>959</v>
      </c>
      <c r="B416" t="s">
        <v>960</v>
      </c>
      <c r="C416">
        <v>1000</v>
      </c>
      <c r="D416" t="s">
        <v>111</v>
      </c>
      <c r="G416">
        <v>37.5</v>
      </c>
      <c r="H416">
        <v>25</v>
      </c>
      <c r="I416">
        <v>37.5</v>
      </c>
      <c r="J416">
        <f t="shared" si="12"/>
        <v>7.875</v>
      </c>
      <c r="K416">
        <f t="shared" si="13"/>
        <v>-1.0821955300387671</v>
      </c>
      <c r="L416">
        <v>37917.251730000004</v>
      </c>
      <c r="M416">
        <v>1</v>
      </c>
      <c r="R416">
        <v>37860.289230000002</v>
      </c>
      <c r="S416">
        <v>164950.10990000001</v>
      </c>
      <c r="AK416">
        <v>-0.76365017010000003</v>
      </c>
      <c r="AL416">
        <v>-0.64562802630000005</v>
      </c>
      <c r="AS416">
        <v>0</v>
      </c>
      <c r="AT416">
        <v>0</v>
      </c>
      <c r="CH416">
        <v>0.64563024849999995</v>
      </c>
      <c r="CI416">
        <v>-0.76365204880000004</v>
      </c>
    </row>
    <row r="417" spans="1:97" x14ac:dyDescent="0.25">
      <c r="A417" t="s">
        <v>961</v>
      </c>
      <c r="B417" t="s">
        <v>962</v>
      </c>
      <c r="C417">
        <v>1000</v>
      </c>
      <c r="D417" t="s">
        <v>111</v>
      </c>
      <c r="E417">
        <v>25</v>
      </c>
      <c r="H417">
        <v>37.5</v>
      </c>
      <c r="I417">
        <v>37.5</v>
      </c>
      <c r="J417">
        <f t="shared" si="12"/>
        <v>8.125</v>
      </c>
      <c r="K417">
        <f t="shared" si="13"/>
        <v>-1.0821955300387671</v>
      </c>
      <c r="L417">
        <v>34910.065289999999</v>
      </c>
      <c r="M417">
        <v>1</v>
      </c>
      <c r="R417">
        <v>48239.949719999997</v>
      </c>
      <c r="S417">
        <v>174125.1727</v>
      </c>
      <c r="AJ417">
        <v>0.69273205260000004</v>
      </c>
      <c r="AN417">
        <v>-0.72119673929999994</v>
      </c>
      <c r="AS417">
        <v>0</v>
      </c>
      <c r="AT417">
        <v>0</v>
      </c>
      <c r="CH417">
        <v>-0.72119505220000002</v>
      </c>
      <c r="CI417">
        <v>-0.69273029610000003</v>
      </c>
    </row>
    <row r="418" spans="1:97" x14ac:dyDescent="0.25">
      <c r="A418" t="s">
        <v>963</v>
      </c>
      <c r="B418" t="s">
        <v>964</v>
      </c>
      <c r="C418">
        <v>1000</v>
      </c>
      <c r="D418" t="s">
        <v>215</v>
      </c>
      <c r="E418">
        <v>12.5</v>
      </c>
      <c r="F418">
        <v>12.5</v>
      </c>
      <c r="H418">
        <v>37.5</v>
      </c>
      <c r="I418">
        <v>37.5</v>
      </c>
      <c r="J418">
        <f t="shared" si="12"/>
        <v>7.75</v>
      </c>
      <c r="K418">
        <f t="shared" si="13"/>
        <v>-1.2554823251787535</v>
      </c>
      <c r="L418">
        <v>32647.36219</v>
      </c>
      <c r="M418">
        <v>0.8233803328</v>
      </c>
      <c r="P418">
        <v>0.1766196672</v>
      </c>
      <c r="R418">
        <v>62675.715629999999</v>
      </c>
      <c r="S418">
        <v>104670.9635</v>
      </c>
      <c r="W418">
        <v>96677.789489999996</v>
      </c>
      <c r="X418">
        <v>131676.7188</v>
      </c>
      <c r="Z418">
        <v>196268.48879999999</v>
      </c>
      <c r="AA418">
        <v>213046.65849999999</v>
      </c>
      <c r="AI418">
        <v>-8.2067981430000006E-2</v>
      </c>
      <c r="AJ418">
        <v>0.63230616839999998</v>
      </c>
      <c r="AM418">
        <v>-0.85437318490000003</v>
      </c>
      <c r="AN418">
        <v>0.3533458874</v>
      </c>
      <c r="AS418">
        <v>0</v>
      </c>
      <c r="AT418">
        <v>0</v>
      </c>
      <c r="AZ418">
        <v>0</v>
      </c>
      <c r="BA418">
        <v>-0.37075979069999998</v>
      </c>
      <c r="BB418">
        <v>-0.2048763425</v>
      </c>
      <c r="BC418">
        <v>0</v>
      </c>
      <c r="BD418">
        <v>0.90617123710000003</v>
      </c>
      <c r="BE418">
        <v>-0.29346606749999998</v>
      </c>
      <c r="BK418">
        <v>0</v>
      </c>
      <c r="BM418">
        <v>-0.51313868240000005</v>
      </c>
      <c r="BN418">
        <v>-0.68944586340000003</v>
      </c>
      <c r="BQ418">
        <v>0</v>
      </c>
      <c r="BS418">
        <v>-0.2034474627</v>
      </c>
      <c r="BT418">
        <v>-0.9337576581</v>
      </c>
      <c r="CH418">
        <v>-0.77035949780000001</v>
      </c>
      <c r="CI418">
        <v>0.38104218239999998</v>
      </c>
      <c r="CK418">
        <v>-0.51122704750000003</v>
      </c>
      <c r="CQ418">
        <v>0.90584924899999997</v>
      </c>
      <c r="CR418">
        <v>0.30451823649999998</v>
      </c>
      <c r="CS418">
        <v>-0.29445842799999999</v>
      </c>
    </row>
    <row r="419" spans="1:97" x14ac:dyDescent="0.25">
      <c r="A419" t="s">
        <v>965</v>
      </c>
      <c r="B419" t="s">
        <v>966</v>
      </c>
      <c r="C419">
        <v>1000</v>
      </c>
      <c r="D419" t="s">
        <v>291</v>
      </c>
      <c r="F419">
        <v>25</v>
      </c>
      <c r="H419">
        <v>37.5</v>
      </c>
      <c r="I419">
        <v>37.5</v>
      </c>
      <c r="J419">
        <f t="shared" si="12"/>
        <v>7.375</v>
      </c>
      <c r="K419">
        <f t="shared" si="13"/>
        <v>-1.0821955300387671</v>
      </c>
      <c r="L419">
        <v>28668.520639999999</v>
      </c>
      <c r="M419">
        <v>0.11929710139999999</v>
      </c>
      <c r="P419">
        <v>0.88070289859999995</v>
      </c>
      <c r="R419">
        <v>63968.817080000001</v>
      </c>
      <c r="S419">
        <v>142211.7199</v>
      </c>
      <c r="W419">
        <v>73485.579519999999</v>
      </c>
      <c r="X419">
        <v>126830.4855</v>
      </c>
      <c r="AI419">
        <v>-0.68737962399999997</v>
      </c>
      <c r="AM419">
        <v>0.72629832289999996</v>
      </c>
      <c r="AS419">
        <v>0</v>
      </c>
      <c r="AT419">
        <v>0</v>
      </c>
      <c r="AZ419">
        <v>0</v>
      </c>
      <c r="BA419">
        <v>-0.84803482620000004</v>
      </c>
      <c r="BC419">
        <v>0</v>
      </c>
      <c r="BD419">
        <v>-0.5299405089</v>
      </c>
      <c r="CH419">
        <v>0.726298322</v>
      </c>
      <c r="CI419">
        <v>0.687379623</v>
      </c>
      <c r="CQ419">
        <v>0.52994050000000004</v>
      </c>
      <c r="CR419">
        <v>-0.84803482060000002</v>
      </c>
    </row>
    <row r="420" spans="1:97" x14ac:dyDescent="0.25">
      <c r="A420" t="s">
        <v>967</v>
      </c>
      <c r="B420" t="s">
        <v>968</v>
      </c>
      <c r="C420">
        <v>1000</v>
      </c>
      <c r="D420" t="s">
        <v>215</v>
      </c>
      <c r="E420">
        <v>12.5</v>
      </c>
      <c r="G420">
        <v>12.5</v>
      </c>
      <c r="H420">
        <v>37.5</v>
      </c>
      <c r="I420">
        <v>37.5</v>
      </c>
      <c r="J420">
        <f t="shared" si="12"/>
        <v>7.875</v>
      </c>
      <c r="K420">
        <f t="shared" si="13"/>
        <v>-1.2554823251787535</v>
      </c>
      <c r="L420">
        <v>36862.186170000001</v>
      </c>
      <c r="M420">
        <v>0.89686176009999996</v>
      </c>
      <c r="P420">
        <v>0.1031382399</v>
      </c>
      <c r="R420">
        <v>59839.96933</v>
      </c>
      <c r="S420">
        <v>75712.3652</v>
      </c>
      <c r="W420">
        <v>79604.727310000002</v>
      </c>
      <c r="X420">
        <v>126134.2788</v>
      </c>
      <c r="Z420">
        <v>228528.5975</v>
      </c>
      <c r="AA420">
        <v>246822.50949999999</v>
      </c>
      <c r="AJ420">
        <v>0.4894613377</v>
      </c>
      <c r="AK420">
        <v>0.1664961751</v>
      </c>
      <c r="AL420">
        <v>-0.8319541318</v>
      </c>
      <c r="AN420">
        <v>0.53570316259999995</v>
      </c>
      <c r="AS420">
        <v>0</v>
      </c>
      <c r="AT420">
        <v>0</v>
      </c>
      <c r="AZ420">
        <v>0</v>
      </c>
      <c r="BB420">
        <v>2.0212837380000001E-3</v>
      </c>
      <c r="BC420">
        <v>0</v>
      </c>
      <c r="BE420">
        <v>0.33680549269999999</v>
      </c>
      <c r="BK420">
        <v>0</v>
      </c>
      <c r="BL420">
        <v>-0.5292697797</v>
      </c>
      <c r="BN420">
        <v>-0.68808432060000002</v>
      </c>
      <c r="BO420">
        <v>-0.60776872260000003</v>
      </c>
      <c r="BP420">
        <v>-0.7473025284</v>
      </c>
      <c r="BQ420">
        <v>0</v>
      </c>
      <c r="BR420">
        <v>0.26861893809999998</v>
      </c>
      <c r="BT420">
        <v>0.94157207009999999</v>
      </c>
      <c r="CH420">
        <v>-0.85598284010000003</v>
      </c>
      <c r="CI420">
        <v>0.14447990920000001</v>
      </c>
      <c r="CK420">
        <v>-0.4964005118</v>
      </c>
      <c r="CQ420">
        <v>0.79411151250000001</v>
      </c>
      <c r="CR420">
        <v>-0.57280100489999997</v>
      </c>
      <c r="CS420">
        <v>0.20318932789999999</v>
      </c>
    </row>
    <row r="421" spans="1:97" x14ac:dyDescent="0.25">
      <c r="A421" t="s">
        <v>969</v>
      </c>
      <c r="B421" t="s">
        <v>970</v>
      </c>
      <c r="C421">
        <v>1000</v>
      </c>
      <c r="D421" t="s">
        <v>291</v>
      </c>
      <c r="F421">
        <v>12.5</v>
      </c>
      <c r="G421">
        <v>12.5</v>
      </c>
      <c r="H421">
        <v>37.5</v>
      </c>
      <c r="I421">
        <v>37.5</v>
      </c>
      <c r="J421">
        <f t="shared" si="12"/>
        <v>7.5</v>
      </c>
      <c r="K421">
        <f t="shared" si="13"/>
        <v>-1.2554823251787535</v>
      </c>
      <c r="L421">
        <v>33140.566590000002</v>
      </c>
      <c r="M421">
        <v>0.1747113066</v>
      </c>
      <c r="P421">
        <v>0.8252886934</v>
      </c>
      <c r="R421">
        <v>57823.237200000003</v>
      </c>
      <c r="S421">
        <v>84264.206090000007</v>
      </c>
      <c r="W421">
        <v>75216.200509999995</v>
      </c>
      <c r="X421">
        <v>97437.414839999998</v>
      </c>
      <c r="Z421">
        <v>232122.30420000001</v>
      </c>
      <c r="AA421">
        <v>189282.6146</v>
      </c>
      <c r="AI421">
        <v>0.1222342803</v>
      </c>
      <c r="AK421">
        <v>-0.66553081010000004</v>
      </c>
      <c r="AL421">
        <v>0.41799263539999998</v>
      </c>
      <c r="AM421">
        <v>-0.75624241339999998</v>
      </c>
      <c r="AS421">
        <v>0</v>
      </c>
      <c r="AT421">
        <v>0</v>
      </c>
      <c r="AZ421">
        <v>0</v>
      </c>
      <c r="BA421">
        <v>-0.24473621800000001</v>
      </c>
      <c r="BC421">
        <v>0</v>
      </c>
      <c r="BD421">
        <v>0.72267523369999997</v>
      </c>
      <c r="BK421">
        <v>0</v>
      </c>
      <c r="BL421">
        <v>-0.61834462739999996</v>
      </c>
      <c r="BM421">
        <v>-0.64277183959999995</v>
      </c>
      <c r="BO421">
        <v>0.70630897339999998</v>
      </c>
      <c r="BP421">
        <v>-0.32385545859999998</v>
      </c>
      <c r="BQ421">
        <v>0</v>
      </c>
      <c r="BR421">
        <v>0.62948017450000004</v>
      </c>
      <c r="BS421">
        <v>0.64640908060000002</v>
      </c>
      <c r="CH421">
        <v>0.73629309480000005</v>
      </c>
      <c r="CI421">
        <v>0.50336822400000003</v>
      </c>
      <c r="CK421">
        <v>-0.4522104421</v>
      </c>
      <c r="CQ421">
        <v>-0.66425282659999996</v>
      </c>
      <c r="CR421">
        <v>-0.61062111699999999</v>
      </c>
      <c r="CS421">
        <v>0.4311728313</v>
      </c>
    </row>
    <row r="422" spans="1:97" x14ac:dyDescent="0.25">
      <c r="A422" t="s">
        <v>971</v>
      </c>
      <c r="B422" t="s">
        <v>972</v>
      </c>
      <c r="C422">
        <v>1000</v>
      </c>
      <c r="D422" t="s">
        <v>215</v>
      </c>
      <c r="G422">
        <v>25</v>
      </c>
      <c r="H422">
        <v>37.5</v>
      </c>
      <c r="I422">
        <v>37.5</v>
      </c>
      <c r="J422">
        <f t="shared" si="12"/>
        <v>7.625</v>
      </c>
      <c r="K422">
        <f t="shared" si="13"/>
        <v>-1.0821955300387671</v>
      </c>
      <c r="L422">
        <v>36913.241269999999</v>
      </c>
      <c r="M422">
        <v>0.25940260479999999</v>
      </c>
      <c r="P422">
        <v>0.74059739520000001</v>
      </c>
      <c r="R422">
        <v>41759.688499999997</v>
      </c>
      <c r="S422">
        <v>150246.84099999999</v>
      </c>
      <c r="W422">
        <v>55236.413130000001</v>
      </c>
      <c r="X422">
        <v>125674.1504</v>
      </c>
      <c r="AK422">
        <v>-0.72852130349999999</v>
      </c>
      <c r="AL422">
        <v>-0.68502258680000006</v>
      </c>
      <c r="AS422">
        <v>0</v>
      </c>
      <c r="AT422">
        <v>0</v>
      </c>
      <c r="AZ422">
        <v>0</v>
      </c>
      <c r="BC422">
        <v>0</v>
      </c>
      <c r="BO422">
        <v>-0.79566064189999997</v>
      </c>
      <c r="BP422">
        <v>-0.60574264700000002</v>
      </c>
      <c r="CH422">
        <v>0.68502314580000001</v>
      </c>
      <c r="CI422">
        <v>-0.72852182909999996</v>
      </c>
      <c r="CQ422">
        <v>0.60574263750000001</v>
      </c>
      <c r="CR422">
        <v>-0.79566063470000004</v>
      </c>
    </row>
    <row r="423" spans="1:97" x14ac:dyDescent="0.25">
      <c r="A423" t="s">
        <v>973</v>
      </c>
      <c r="B423" t="s">
        <v>974</v>
      </c>
      <c r="C423">
        <v>1000</v>
      </c>
      <c r="D423" t="s">
        <v>215</v>
      </c>
      <c r="E423">
        <v>12.5</v>
      </c>
      <c r="H423">
        <v>50</v>
      </c>
      <c r="I423">
        <v>37.5</v>
      </c>
      <c r="J423">
        <f t="shared" si="12"/>
        <v>7.625</v>
      </c>
      <c r="K423">
        <f t="shared" si="13"/>
        <v>-0.97431475286934943</v>
      </c>
      <c r="L423">
        <v>34626.35166</v>
      </c>
      <c r="M423">
        <v>0.55538271380000004</v>
      </c>
      <c r="P423">
        <v>0.44461728620000002</v>
      </c>
      <c r="R423">
        <v>57097.14316</v>
      </c>
      <c r="S423">
        <v>157424.1116</v>
      </c>
      <c r="W423">
        <v>101137.04670000001</v>
      </c>
      <c r="X423">
        <v>185736.9675</v>
      </c>
      <c r="AJ423">
        <v>0.60297972030000002</v>
      </c>
      <c r="AN423">
        <v>-0.79775651849999996</v>
      </c>
      <c r="AS423">
        <v>0</v>
      </c>
      <c r="AT423">
        <v>0</v>
      </c>
      <c r="AZ423">
        <v>0</v>
      </c>
      <c r="BB423">
        <v>0.2037297378</v>
      </c>
      <c r="BC423">
        <v>0</v>
      </c>
      <c r="BE423">
        <v>-0.97902717490000002</v>
      </c>
      <c r="CH423">
        <v>-0.79775651479999998</v>
      </c>
      <c r="CI423">
        <v>-0.60297971539999995</v>
      </c>
      <c r="CQ423">
        <v>-0.97902716710000004</v>
      </c>
      <c r="CR423">
        <v>-0.20372970039999999</v>
      </c>
    </row>
    <row r="424" spans="1:97" x14ac:dyDescent="0.25">
      <c r="A424" t="s">
        <v>975</v>
      </c>
      <c r="B424" t="s">
        <v>976</v>
      </c>
      <c r="C424">
        <v>1000</v>
      </c>
      <c r="D424" t="s">
        <v>319</v>
      </c>
      <c r="F424">
        <v>12.5</v>
      </c>
      <c r="H424">
        <v>50</v>
      </c>
      <c r="I424">
        <v>37.5</v>
      </c>
      <c r="J424">
        <f t="shared" si="12"/>
        <v>7.25</v>
      </c>
      <c r="K424">
        <f t="shared" si="13"/>
        <v>-0.97431475286934943</v>
      </c>
      <c r="L424">
        <v>29451.641609999999</v>
      </c>
      <c r="P424">
        <v>1</v>
      </c>
      <c r="W424">
        <v>97785.094349999999</v>
      </c>
      <c r="X424">
        <v>129822.08809999999</v>
      </c>
      <c r="AZ424">
        <v>0</v>
      </c>
      <c r="BA424">
        <v>-0.4113193429</v>
      </c>
      <c r="BC424">
        <v>0</v>
      </c>
      <c r="BD424">
        <v>0.91149131630000002</v>
      </c>
      <c r="CQ424">
        <v>0.91149130450000004</v>
      </c>
      <c r="CR424">
        <v>0.41131931659999998</v>
      </c>
    </row>
    <row r="425" spans="1:97" x14ac:dyDescent="0.25">
      <c r="A425" t="s">
        <v>977</v>
      </c>
      <c r="B425" t="s">
        <v>978</v>
      </c>
      <c r="C425">
        <v>1000</v>
      </c>
      <c r="D425" t="s">
        <v>319</v>
      </c>
      <c r="G425">
        <v>12.5</v>
      </c>
      <c r="H425">
        <v>50</v>
      </c>
      <c r="I425">
        <v>37.5</v>
      </c>
      <c r="J425">
        <f t="shared" si="12"/>
        <v>7.375</v>
      </c>
      <c r="K425">
        <f t="shared" si="13"/>
        <v>-0.97431475286934943</v>
      </c>
      <c r="L425">
        <v>34651.782919999998</v>
      </c>
      <c r="P425">
        <v>1</v>
      </c>
      <c r="W425">
        <v>78648.131439999997</v>
      </c>
      <c r="X425">
        <v>131771.44649999999</v>
      </c>
      <c r="AZ425">
        <v>0</v>
      </c>
      <c r="BC425">
        <v>0</v>
      </c>
      <c r="BO425">
        <v>-0.58899049160000005</v>
      </c>
      <c r="BP425">
        <v>0.8081399803</v>
      </c>
      <c r="CQ425">
        <v>0.80813996359999996</v>
      </c>
      <c r="CR425">
        <v>0.58899046870000005</v>
      </c>
    </row>
    <row r="426" spans="1:97" x14ac:dyDescent="0.25">
      <c r="A426" t="s">
        <v>979</v>
      </c>
      <c r="B426" t="s">
        <v>980</v>
      </c>
      <c r="C426">
        <v>1000</v>
      </c>
      <c r="D426" t="s">
        <v>319</v>
      </c>
      <c r="H426">
        <v>62.5</v>
      </c>
      <c r="I426">
        <v>37.5</v>
      </c>
      <c r="J426">
        <f t="shared" si="12"/>
        <v>7.125</v>
      </c>
      <c r="K426">
        <f t="shared" si="13"/>
        <v>-0.66156323815798213</v>
      </c>
      <c r="L426">
        <v>32254.47971</v>
      </c>
      <c r="P426">
        <v>1</v>
      </c>
      <c r="W426">
        <v>114348.2645</v>
      </c>
      <c r="AZ426">
        <v>0</v>
      </c>
      <c r="CQ426">
        <v>1</v>
      </c>
    </row>
    <row r="427" spans="1:97" x14ac:dyDescent="0.25">
      <c r="A427" t="s">
        <v>981</v>
      </c>
      <c r="B427" t="s">
        <v>982</v>
      </c>
      <c r="C427">
        <v>1000</v>
      </c>
      <c r="D427" t="s">
        <v>111</v>
      </c>
      <c r="E427">
        <v>50</v>
      </c>
      <c r="I427">
        <v>50</v>
      </c>
      <c r="J427">
        <f t="shared" si="12"/>
        <v>9.5</v>
      </c>
      <c r="K427">
        <f t="shared" si="13"/>
        <v>-0.69314718055994529</v>
      </c>
      <c r="L427">
        <v>33152.571609999999</v>
      </c>
      <c r="M427">
        <v>1</v>
      </c>
      <c r="R427">
        <v>39384.297180000001</v>
      </c>
      <c r="AJ427">
        <v>1</v>
      </c>
      <c r="CH427">
        <v>0</v>
      </c>
    </row>
    <row r="428" spans="1:97" x14ac:dyDescent="0.25">
      <c r="A428" t="s">
        <v>983</v>
      </c>
      <c r="B428" t="s">
        <v>984</v>
      </c>
      <c r="C428">
        <v>1000</v>
      </c>
      <c r="D428" t="s">
        <v>111</v>
      </c>
      <c r="E428">
        <v>37.5</v>
      </c>
      <c r="F428">
        <v>12.5</v>
      </c>
      <c r="I428">
        <v>50</v>
      </c>
      <c r="J428">
        <f t="shared" si="12"/>
        <v>9.125</v>
      </c>
      <c r="K428">
        <f t="shared" si="13"/>
        <v>-0.97431475286934943</v>
      </c>
      <c r="L428">
        <v>31410.573939999998</v>
      </c>
      <c r="M428">
        <v>1</v>
      </c>
      <c r="R428">
        <v>24231.850640000001</v>
      </c>
      <c r="S428">
        <v>333010.85460000002</v>
      </c>
      <c r="AI428">
        <v>0</v>
      </c>
      <c r="AJ428">
        <v>0.67692811620000004</v>
      </c>
      <c r="AM428">
        <v>0</v>
      </c>
      <c r="AN428">
        <v>-0.73604853699999995</v>
      </c>
      <c r="CH428">
        <v>-0.73604913250000004</v>
      </c>
      <c r="CI428">
        <v>-0.67692876369999999</v>
      </c>
    </row>
    <row r="429" spans="1:97" x14ac:dyDescent="0.25">
      <c r="A429" t="s">
        <v>985</v>
      </c>
      <c r="B429" t="s">
        <v>986</v>
      </c>
      <c r="C429">
        <v>1000</v>
      </c>
      <c r="D429" t="s">
        <v>111</v>
      </c>
      <c r="E429">
        <v>25</v>
      </c>
      <c r="F429">
        <v>25</v>
      </c>
      <c r="I429">
        <v>50</v>
      </c>
      <c r="J429">
        <f t="shared" si="12"/>
        <v>8.75</v>
      </c>
      <c r="K429">
        <f t="shared" si="13"/>
        <v>-1.0397207708399179</v>
      </c>
      <c r="L429">
        <v>30567.14127</v>
      </c>
      <c r="M429">
        <v>1</v>
      </c>
      <c r="R429">
        <v>31153.10629</v>
      </c>
      <c r="S429">
        <v>251083.9008</v>
      </c>
      <c r="AI429">
        <v>0</v>
      </c>
      <c r="AJ429">
        <v>0.65197707979999997</v>
      </c>
      <c r="AM429">
        <v>0</v>
      </c>
      <c r="AN429">
        <v>-0.75823867540000001</v>
      </c>
      <c r="CH429">
        <v>-0.75823867450000004</v>
      </c>
      <c r="CI429">
        <v>-0.65197707859999998</v>
      </c>
    </row>
    <row r="430" spans="1:97" x14ac:dyDescent="0.25">
      <c r="A430" t="s">
        <v>987</v>
      </c>
      <c r="B430" t="s">
        <v>988</v>
      </c>
      <c r="C430">
        <v>1000</v>
      </c>
      <c r="D430" t="s">
        <v>111</v>
      </c>
      <c r="E430">
        <v>12.5</v>
      </c>
      <c r="F430">
        <v>37.5</v>
      </c>
      <c r="I430">
        <v>50</v>
      </c>
      <c r="J430">
        <f t="shared" si="12"/>
        <v>8.375</v>
      </c>
      <c r="K430">
        <f t="shared" si="13"/>
        <v>-0.97431475286934943</v>
      </c>
      <c r="L430">
        <v>30831.704089999999</v>
      </c>
      <c r="M430">
        <v>1</v>
      </c>
      <c r="R430">
        <v>46303.946060000002</v>
      </c>
      <c r="S430">
        <v>228396.9394</v>
      </c>
      <c r="AI430">
        <v>0</v>
      </c>
      <c r="AJ430">
        <v>0.55561590080000001</v>
      </c>
      <c r="AM430">
        <v>0</v>
      </c>
      <c r="AN430">
        <v>-0.83143909719999998</v>
      </c>
      <c r="CH430">
        <v>-0.83143909630000001</v>
      </c>
      <c r="CI430">
        <v>-0.5556158994</v>
      </c>
    </row>
    <row r="431" spans="1:97" x14ac:dyDescent="0.25">
      <c r="A431" t="s">
        <v>989</v>
      </c>
      <c r="B431" t="s">
        <v>990</v>
      </c>
      <c r="C431">
        <v>1000</v>
      </c>
      <c r="D431" t="s">
        <v>111</v>
      </c>
      <c r="F431">
        <v>50</v>
      </c>
      <c r="I431">
        <v>50</v>
      </c>
      <c r="J431">
        <f t="shared" si="12"/>
        <v>8</v>
      </c>
      <c r="K431">
        <f t="shared" si="13"/>
        <v>-0.69314718055994529</v>
      </c>
      <c r="L431">
        <v>31770.59175</v>
      </c>
      <c r="M431">
        <v>1</v>
      </c>
      <c r="R431">
        <v>89826.242280000006</v>
      </c>
      <c r="AI431">
        <v>0</v>
      </c>
      <c r="CH431">
        <v>1</v>
      </c>
    </row>
    <row r="432" spans="1:97" x14ac:dyDescent="0.25">
      <c r="A432" t="s">
        <v>991</v>
      </c>
      <c r="B432" t="s">
        <v>992</v>
      </c>
      <c r="C432">
        <v>1000</v>
      </c>
      <c r="D432" t="s">
        <v>111</v>
      </c>
      <c r="E432">
        <v>37.5</v>
      </c>
      <c r="G432">
        <v>12.5</v>
      </c>
      <c r="I432">
        <v>50</v>
      </c>
      <c r="J432">
        <f t="shared" si="12"/>
        <v>9.25</v>
      </c>
      <c r="K432">
        <f t="shared" si="13"/>
        <v>-0.97431475286934943</v>
      </c>
      <c r="L432">
        <v>32754.360949999998</v>
      </c>
      <c r="M432">
        <v>1</v>
      </c>
      <c r="R432">
        <v>21356.0802</v>
      </c>
      <c r="S432">
        <v>240674.5338</v>
      </c>
      <c r="AJ432">
        <v>0.68911346849999999</v>
      </c>
      <c r="AK432">
        <v>0</v>
      </c>
      <c r="AL432">
        <v>0</v>
      </c>
      <c r="AN432">
        <v>-0.72465269200000004</v>
      </c>
      <c r="CH432">
        <v>-0.72465345339999998</v>
      </c>
      <c r="CI432">
        <v>-0.68911426919999996</v>
      </c>
    </row>
    <row r="433" spans="1:102" x14ac:dyDescent="0.25">
      <c r="A433" t="s">
        <v>993</v>
      </c>
      <c r="B433" t="s">
        <v>994</v>
      </c>
      <c r="C433">
        <v>1000</v>
      </c>
      <c r="D433" t="s">
        <v>111</v>
      </c>
      <c r="E433">
        <v>25</v>
      </c>
      <c r="F433">
        <v>12.5</v>
      </c>
      <c r="G433">
        <v>12.5</v>
      </c>
      <c r="I433">
        <v>50</v>
      </c>
      <c r="J433">
        <f t="shared" si="12"/>
        <v>8.875</v>
      </c>
      <c r="K433">
        <f t="shared" si="13"/>
        <v>-1.2130075659799042</v>
      </c>
      <c r="L433">
        <v>32174.863450000001</v>
      </c>
      <c r="M433">
        <v>1</v>
      </c>
      <c r="R433">
        <v>27664.872770000002</v>
      </c>
      <c r="S433">
        <v>76669.015679999997</v>
      </c>
      <c r="Z433">
        <v>428782.55849999998</v>
      </c>
      <c r="AI433">
        <v>0</v>
      </c>
      <c r="AJ433">
        <v>0.62286890630000002</v>
      </c>
      <c r="AK433">
        <v>6.393156991E-2</v>
      </c>
      <c r="AL433">
        <v>-0.84020817910000001</v>
      </c>
      <c r="AM433">
        <v>0</v>
      </c>
      <c r="AN433">
        <v>0.4551780118</v>
      </c>
      <c r="BL433">
        <v>-0.53848209940000002</v>
      </c>
      <c r="BM433">
        <v>0</v>
      </c>
      <c r="BN433">
        <v>-0.63627612330000005</v>
      </c>
      <c r="CH433">
        <v>-0.77970961260000005</v>
      </c>
      <c r="CI433">
        <v>0.29472562390000001</v>
      </c>
      <c r="CK433">
        <v>-0.55243979170000002</v>
      </c>
    </row>
    <row r="434" spans="1:102" x14ac:dyDescent="0.25">
      <c r="A434" t="s">
        <v>995</v>
      </c>
      <c r="B434" t="s">
        <v>996</v>
      </c>
      <c r="C434">
        <v>1000</v>
      </c>
      <c r="D434" t="s">
        <v>111</v>
      </c>
      <c r="E434">
        <v>12.5</v>
      </c>
      <c r="F434">
        <v>25</v>
      </c>
      <c r="G434">
        <v>12.5</v>
      </c>
      <c r="I434">
        <v>50</v>
      </c>
      <c r="J434">
        <f t="shared" si="12"/>
        <v>8.5</v>
      </c>
      <c r="K434">
        <f t="shared" si="13"/>
        <v>-1.2130075659799042</v>
      </c>
      <c r="L434">
        <v>31924.291659999999</v>
      </c>
      <c r="M434">
        <v>1</v>
      </c>
      <c r="R434">
        <v>40588.577389999999</v>
      </c>
      <c r="S434">
        <v>84963.580149999994</v>
      </c>
      <c r="Z434">
        <v>323497.09129999997</v>
      </c>
      <c r="AI434">
        <v>0</v>
      </c>
      <c r="AJ434">
        <v>0.45907609430000001</v>
      </c>
      <c r="AK434">
        <v>0.24486774829999999</v>
      </c>
      <c r="AL434">
        <v>-0.84826264929999995</v>
      </c>
      <c r="AM434">
        <v>0</v>
      </c>
      <c r="AN434">
        <v>0.52801593000000002</v>
      </c>
      <c r="BL434">
        <v>-0.46956285599999997</v>
      </c>
      <c r="BM434">
        <v>0</v>
      </c>
      <c r="BN434">
        <v>-0.71445743139999995</v>
      </c>
      <c r="CH434">
        <v>-0.85398414830000002</v>
      </c>
      <c r="CI434">
        <v>4.0615951230000003E-2</v>
      </c>
      <c r="CK434">
        <v>-0.5187111942</v>
      </c>
    </row>
    <row r="435" spans="1:102" x14ac:dyDescent="0.25">
      <c r="A435" t="s">
        <v>997</v>
      </c>
      <c r="B435" t="s">
        <v>998</v>
      </c>
      <c r="C435">
        <v>1000</v>
      </c>
      <c r="D435" t="s">
        <v>111</v>
      </c>
      <c r="F435">
        <v>37.5</v>
      </c>
      <c r="G435">
        <v>12.5</v>
      </c>
      <c r="I435">
        <v>50</v>
      </c>
      <c r="J435">
        <f t="shared" si="12"/>
        <v>8.125</v>
      </c>
      <c r="K435">
        <f t="shared" si="13"/>
        <v>-0.97431475286934943</v>
      </c>
      <c r="L435">
        <v>32573.589639999998</v>
      </c>
      <c r="M435">
        <v>1</v>
      </c>
      <c r="R435">
        <v>57068.659209999998</v>
      </c>
      <c r="S435">
        <v>150413.17749999999</v>
      </c>
      <c r="AI435">
        <v>0</v>
      </c>
      <c r="AK435">
        <v>-0.64584859809999995</v>
      </c>
      <c r="AL435">
        <v>0.76346544080000001</v>
      </c>
      <c r="AM435">
        <v>0</v>
      </c>
      <c r="CH435">
        <v>0.76346551220000003</v>
      </c>
      <c r="CI435">
        <v>0.64584868250000005</v>
      </c>
    </row>
    <row r="436" spans="1:102" x14ac:dyDescent="0.25">
      <c r="A436" t="s">
        <v>999</v>
      </c>
      <c r="B436" t="s">
        <v>1000</v>
      </c>
      <c r="C436">
        <v>1000</v>
      </c>
      <c r="D436" t="s">
        <v>111</v>
      </c>
      <c r="E436">
        <v>25</v>
      </c>
      <c r="G436">
        <v>25</v>
      </c>
      <c r="I436">
        <v>50</v>
      </c>
      <c r="J436">
        <f t="shared" si="12"/>
        <v>9</v>
      </c>
      <c r="K436">
        <f t="shared" si="13"/>
        <v>-1.0397207708399179</v>
      </c>
      <c r="L436">
        <v>33448.943229999997</v>
      </c>
      <c r="M436">
        <v>1</v>
      </c>
      <c r="R436">
        <v>26162.039479999999</v>
      </c>
      <c r="S436">
        <v>145801.5822</v>
      </c>
      <c r="AJ436">
        <v>0.65546178960000001</v>
      </c>
      <c r="AK436">
        <v>0</v>
      </c>
      <c r="AL436">
        <v>0</v>
      </c>
      <c r="AN436">
        <v>-0.75522852389999995</v>
      </c>
      <c r="CH436">
        <v>-0.75522833789999999</v>
      </c>
      <c r="CI436">
        <v>-0.65546157530000004</v>
      </c>
    </row>
    <row r="437" spans="1:102" x14ac:dyDescent="0.25">
      <c r="A437" t="s">
        <v>1001</v>
      </c>
      <c r="B437" t="s">
        <v>1002</v>
      </c>
      <c r="C437">
        <v>1000</v>
      </c>
      <c r="D437" t="s">
        <v>111</v>
      </c>
      <c r="E437">
        <v>12.5</v>
      </c>
      <c r="F437">
        <v>12.5</v>
      </c>
      <c r="G437">
        <v>25</v>
      </c>
      <c r="I437">
        <v>50</v>
      </c>
      <c r="J437">
        <f t="shared" si="12"/>
        <v>8.625</v>
      </c>
      <c r="K437">
        <f t="shared" si="13"/>
        <v>-1.2130075659799042</v>
      </c>
      <c r="L437">
        <v>33306.964110000001</v>
      </c>
      <c r="M437">
        <v>1</v>
      </c>
      <c r="R437">
        <v>34678.270909999999</v>
      </c>
      <c r="S437">
        <v>55569.054929999998</v>
      </c>
      <c r="Z437">
        <v>436535.33750000002</v>
      </c>
      <c r="AI437">
        <v>0</v>
      </c>
      <c r="AJ437">
        <v>0.27279744239999998</v>
      </c>
      <c r="AK437">
        <v>0.51966846420000001</v>
      </c>
      <c r="AL437">
        <v>0.71761126350000004</v>
      </c>
      <c r="AM437">
        <v>0</v>
      </c>
      <c r="AN437">
        <v>-0.65365275919999999</v>
      </c>
      <c r="BL437">
        <v>0.46365803560000002</v>
      </c>
      <c r="BM437">
        <v>0</v>
      </c>
      <c r="BN437">
        <v>0.70591757399999999</v>
      </c>
      <c r="CH437">
        <v>-0.80964575139999995</v>
      </c>
      <c r="CI437">
        <v>0.24035836760000001</v>
      </c>
      <c r="CK437">
        <v>0.53544523980000003</v>
      </c>
    </row>
    <row r="438" spans="1:102" x14ac:dyDescent="0.25">
      <c r="A438" t="s">
        <v>1003</v>
      </c>
      <c r="B438" t="s">
        <v>1004</v>
      </c>
      <c r="C438">
        <v>1000</v>
      </c>
      <c r="D438" t="s">
        <v>111</v>
      </c>
      <c r="F438">
        <v>25</v>
      </c>
      <c r="G438">
        <v>25</v>
      </c>
      <c r="I438">
        <v>50</v>
      </c>
      <c r="J438">
        <f t="shared" si="12"/>
        <v>8.25</v>
      </c>
      <c r="K438">
        <f t="shared" si="13"/>
        <v>-1.0397207708399179</v>
      </c>
      <c r="L438">
        <v>33474.85658</v>
      </c>
      <c r="M438">
        <v>1</v>
      </c>
      <c r="R438">
        <v>36393.94599</v>
      </c>
      <c r="S438">
        <v>156449.0912</v>
      </c>
      <c r="AI438">
        <v>0</v>
      </c>
      <c r="AK438">
        <v>-0.77878039210000005</v>
      </c>
      <c r="AL438">
        <v>-0.62729687850000004</v>
      </c>
      <c r="AM438">
        <v>0</v>
      </c>
      <c r="CH438">
        <v>0.62729666100000003</v>
      </c>
      <c r="CI438">
        <v>-0.77878021689999999</v>
      </c>
    </row>
    <row r="439" spans="1:102" x14ac:dyDescent="0.25">
      <c r="A439" t="s">
        <v>1005</v>
      </c>
      <c r="B439" t="s">
        <v>1006</v>
      </c>
      <c r="C439">
        <v>1000</v>
      </c>
      <c r="D439" t="s">
        <v>111</v>
      </c>
      <c r="E439">
        <v>12.5</v>
      </c>
      <c r="G439">
        <v>37.5</v>
      </c>
      <c r="I439">
        <v>50</v>
      </c>
      <c r="J439">
        <f t="shared" si="12"/>
        <v>8.75</v>
      </c>
      <c r="K439">
        <f t="shared" si="13"/>
        <v>-0.97431475286934943</v>
      </c>
      <c r="L439">
        <v>34592.58483</v>
      </c>
      <c r="M439">
        <v>1</v>
      </c>
      <c r="R439">
        <v>39098.008029999997</v>
      </c>
      <c r="S439">
        <v>130232.0727</v>
      </c>
      <c r="AJ439">
        <v>0.48378067299999999</v>
      </c>
      <c r="AK439">
        <v>0</v>
      </c>
      <c r="AL439">
        <v>0</v>
      </c>
      <c r="AN439">
        <v>-0.87518904760000005</v>
      </c>
      <c r="CH439">
        <v>-0.87518927120000001</v>
      </c>
      <c r="CI439">
        <v>-0.48378107749999999</v>
      </c>
    </row>
    <row r="440" spans="1:102" x14ac:dyDescent="0.25">
      <c r="A440" t="s">
        <v>1007</v>
      </c>
      <c r="B440" t="s">
        <v>1008</v>
      </c>
      <c r="C440">
        <v>1000</v>
      </c>
      <c r="D440" t="s">
        <v>111</v>
      </c>
      <c r="F440">
        <v>12.5</v>
      </c>
      <c r="G440">
        <v>37.5</v>
      </c>
      <c r="I440">
        <v>50</v>
      </c>
      <c r="J440">
        <f t="shared" si="12"/>
        <v>8.375</v>
      </c>
      <c r="K440">
        <f t="shared" si="13"/>
        <v>-0.97431475286934943</v>
      </c>
      <c r="L440">
        <v>34479.598299999998</v>
      </c>
      <c r="M440">
        <v>1</v>
      </c>
      <c r="R440">
        <v>30044.095089999999</v>
      </c>
      <c r="S440">
        <v>230876.11540000001</v>
      </c>
      <c r="AI440">
        <v>0</v>
      </c>
      <c r="AK440">
        <v>-0.7700811608</v>
      </c>
      <c r="AL440">
        <v>-0.63794623159999997</v>
      </c>
      <c r="AM440">
        <v>0</v>
      </c>
      <c r="CH440">
        <v>0.63794592699999997</v>
      </c>
      <c r="CI440">
        <v>-0.77008090839999999</v>
      </c>
    </row>
    <row r="441" spans="1:102" x14ac:dyDescent="0.25">
      <c r="A441" t="s">
        <v>1009</v>
      </c>
      <c r="B441" t="s">
        <v>1010</v>
      </c>
      <c r="C441">
        <v>1000</v>
      </c>
      <c r="D441" t="s">
        <v>111</v>
      </c>
      <c r="G441">
        <v>50</v>
      </c>
      <c r="I441">
        <v>50</v>
      </c>
      <c r="J441">
        <f t="shared" si="12"/>
        <v>8.5</v>
      </c>
      <c r="K441">
        <f t="shared" si="13"/>
        <v>-0.69314718055994529</v>
      </c>
      <c r="L441">
        <v>35496.176229999997</v>
      </c>
      <c r="M441">
        <v>1</v>
      </c>
      <c r="R441">
        <v>55444.510110000003</v>
      </c>
      <c r="AK441">
        <v>0</v>
      </c>
      <c r="CH441">
        <v>1</v>
      </c>
    </row>
    <row r="442" spans="1:102" x14ac:dyDescent="0.25">
      <c r="A442" t="s">
        <v>1011</v>
      </c>
      <c r="B442" t="s">
        <v>1012</v>
      </c>
      <c r="C442">
        <v>1000</v>
      </c>
      <c r="D442" t="s">
        <v>111</v>
      </c>
      <c r="E442">
        <v>37.5</v>
      </c>
      <c r="H442">
        <v>12.5</v>
      </c>
      <c r="I442">
        <v>50</v>
      </c>
      <c r="J442">
        <f t="shared" si="12"/>
        <v>9</v>
      </c>
      <c r="K442">
        <f t="shared" si="13"/>
        <v>-0.97431475286934943</v>
      </c>
      <c r="L442">
        <v>33645.942770000001</v>
      </c>
      <c r="M442">
        <v>1</v>
      </c>
      <c r="R442">
        <v>28148.878089999998</v>
      </c>
      <c r="S442">
        <v>338734.21110000001</v>
      </c>
      <c r="AJ442">
        <v>0.67703670049999998</v>
      </c>
      <c r="AN442">
        <v>-0.73594925369999997</v>
      </c>
      <c r="AS442">
        <v>0</v>
      </c>
      <c r="AT442">
        <v>0</v>
      </c>
      <c r="CH442">
        <v>-0.73594925509999998</v>
      </c>
      <c r="CI442">
        <v>-0.6770367021</v>
      </c>
    </row>
    <row r="443" spans="1:102" x14ac:dyDescent="0.25">
      <c r="A443" t="s">
        <v>1013</v>
      </c>
      <c r="B443" t="s">
        <v>1014</v>
      </c>
      <c r="C443">
        <v>1000</v>
      </c>
      <c r="D443" t="s">
        <v>111</v>
      </c>
      <c r="E443">
        <v>25</v>
      </c>
      <c r="F443">
        <v>12.5</v>
      </c>
      <c r="H443">
        <v>12.5</v>
      </c>
      <c r="I443">
        <v>50</v>
      </c>
      <c r="J443">
        <f t="shared" si="12"/>
        <v>8.625</v>
      </c>
      <c r="K443">
        <f t="shared" si="13"/>
        <v>-1.2130075659799042</v>
      </c>
      <c r="L443">
        <v>31918.627420000001</v>
      </c>
      <c r="M443">
        <v>1</v>
      </c>
      <c r="R443">
        <v>36345.839910000002</v>
      </c>
      <c r="S443">
        <v>110422.84269999999</v>
      </c>
      <c r="Z443">
        <v>402729.70640000002</v>
      </c>
      <c r="AI443">
        <v>2.096515358E-2</v>
      </c>
      <c r="AJ443">
        <v>0.66953633290000003</v>
      </c>
      <c r="AM443">
        <v>0.85560310370000003</v>
      </c>
      <c r="AN443">
        <v>-0.39620229800000001</v>
      </c>
      <c r="AS443">
        <v>0</v>
      </c>
      <c r="AT443">
        <v>0</v>
      </c>
      <c r="BK443">
        <v>0</v>
      </c>
      <c r="BM443">
        <v>0.51720768780000004</v>
      </c>
      <c r="BN443">
        <v>0.62828722709999996</v>
      </c>
      <c r="CH443">
        <v>-0.74248337440000001</v>
      </c>
      <c r="CI443">
        <v>-0.33311719870000001</v>
      </c>
      <c r="CK443">
        <v>0.58116380469999995</v>
      </c>
    </row>
    <row r="444" spans="1:102" x14ac:dyDescent="0.25">
      <c r="A444" t="s">
        <v>1015</v>
      </c>
      <c r="B444" t="s">
        <v>1016</v>
      </c>
      <c r="C444">
        <v>1000</v>
      </c>
      <c r="D444" t="s">
        <v>111</v>
      </c>
      <c r="E444">
        <v>12.5</v>
      </c>
      <c r="F444">
        <v>25</v>
      </c>
      <c r="H444">
        <v>12.5</v>
      </c>
      <c r="I444">
        <v>50</v>
      </c>
      <c r="J444">
        <f t="shared" si="12"/>
        <v>8.25</v>
      </c>
      <c r="K444">
        <f t="shared" si="13"/>
        <v>-1.2130075659799042</v>
      </c>
      <c r="L444">
        <v>31306.976719999999</v>
      </c>
      <c r="M444">
        <v>1</v>
      </c>
      <c r="R444">
        <v>51112.864999999998</v>
      </c>
      <c r="S444">
        <v>84732.097739999997</v>
      </c>
      <c r="Z444">
        <v>384876.39630000002</v>
      </c>
      <c r="AI444">
        <v>0.32658700909999999</v>
      </c>
      <c r="AJ444">
        <v>0.46435201370000001</v>
      </c>
      <c r="AM444">
        <v>0.81400701340000003</v>
      </c>
      <c r="AN444">
        <v>-0.58083603790000005</v>
      </c>
      <c r="AS444">
        <v>0</v>
      </c>
      <c r="AT444">
        <v>0</v>
      </c>
      <c r="BK444">
        <v>0</v>
      </c>
      <c r="BM444">
        <v>0.4803472761</v>
      </c>
      <c r="BN444">
        <v>0.6685856026</v>
      </c>
      <c r="CH444">
        <v>-0.82323637729999999</v>
      </c>
      <c r="CI444">
        <v>-4.698850236E-3</v>
      </c>
      <c r="CK444">
        <v>0.56767929880000001</v>
      </c>
    </row>
    <row r="445" spans="1:102" x14ac:dyDescent="0.25">
      <c r="A445" t="s">
        <v>1017</v>
      </c>
      <c r="B445" t="s">
        <v>1018</v>
      </c>
      <c r="C445">
        <v>1000</v>
      </c>
      <c r="D445" t="s">
        <v>111</v>
      </c>
      <c r="F445">
        <v>37.5</v>
      </c>
      <c r="H445">
        <v>12.5</v>
      </c>
      <c r="I445">
        <v>50</v>
      </c>
      <c r="J445">
        <f t="shared" si="12"/>
        <v>7.875</v>
      </c>
      <c r="K445">
        <f t="shared" si="13"/>
        <v>-0.97431475286934943</v>
      </c>
      <c r="L445">
        <v>31325.185969999999</v>
      </c>
      <c r="M445">
        <v>1</v>
      </c>
      <c r="R445">
        <v>53183.205220000003</v>
      </c>
      <c r="S445">
        <v>236538.03719999999</v>
      </c>
      <c r="AI445">
        <v>-0.72394246650000005</v>
      </c>
      <c r="AM445">
        <v>-0.68986035239999999</v>
      </c>
      <c r="AS445">
        <v>0</v>
      </c>
      <c r="AT445">
        <v>0</v>
      </c>
      <c r="CH445">
        <v>0.68986035199999995</v>
      </c>
      <c r="CI445">
        <v>-0.72394246610000001</v>
      </c>
    </row>
    <row r="446" spans="1:102" x14ac:dyDescent="0.25">
      <c r="A446" t="s">
        <v>1019</v>
      </c>
      <c r="B446" t="s">
        <v>1020</v>
      </c>
      <c r="C446">
        <v>1000</v>
      </c>
      <c r="D446" t="s">
        <v>111</v>
      </c>
      <c r="E446">
        <v>25</v>
      </c>
      <c r="G446">
        <v>12.5</v>
      </c>
      <c r="H446">
        <v>12.5</v>
      </c>
      <c r="I446">
        <v>50</v>
      </c>
      <c r="J446">
        <f t="shared" si="12"/>
        <v>8.75</v>
      </c>
      <c r="K446">
        <f t="shared" si="13"/>
        <v>-1.2130075659799042</v>
      </c>
      <c r="L446">
        <v>34672.984259999997</v>
      </c>
      <c r="M446">
        <v>1</v>
      </c>
      <c r="R446">
        <v>32327.25505</v>
      </c>
      <c r="S446">
        <v>74137.352140000003</v>
      </c>
      <c r="Z446">
        <v>435745.64689999999</v>
      </c>
      <c r="AJ446">
        <v>0.65721198670000003</v>
      </c>
      <c r="AK446">
        <v>-1.674897622E-3</v>
      </c>
      <c r="AL446">
        <v>0.82785228109999998</v>
      </c>
      <c r="AN446">
        <v>-0.42187535399999998</v>
      </c>
      <c r="AS446">
        <v>0</v>
      </c>
      <c r="AT446">
        <v>0</v>
      </c>
      <c r="BK446">
        <v>0</v>
      </c>
      <c r="BL446">
        <v>0.56094366790000005</v>
      </c>
      <c r="BN446">
        <v>0.62457472849999995</v>
      </c>
      <c r="CH446">
        <v>-0.75370392009999998</v>
      </c>
      <c r="CI446">
        <v>-0.36970499909999999</v>
      </c>
      <c r="CK446">
        <v>0.54336784029999996</v>
      </c>
    </row>
    <row r="447" spans="1:102" x14ac:dyDescent="0.25">
      <c r="A447" t="s">
        <v>1021</v>
      </c>
      <c r="B447" t="s">
        <v>1022</v>
      </c>
      <c r="C447">
        <v>1000</v>
      </c>
      <c r="D447" t="s">
        <v>111</v>
      </c>
      <c r="E447">
        <v>12.5</v>
      </c>
      <c r="F447">
        <v>12.5</v>
      </c>
      <c r="G447">
        <v>12.5</v>
      </c>
      <c r="H447">
        <v>12.5</v>
      </c>
      <c r="I447">
        <v>50</v>
      </c>
      <c r="J447">
        <f t="shared" si="12"/>
        <v>8.375</v>
      </c>
      <c r="K447">
        <f t="shared" si="13"/>
        <v>-1.3862943611198906</v>
      </c>
      <c r="L447">
        <v>33455.860589999997</v>
      </c>
      <c r="M447">
        <v>1</v>
      </c>
      <c r="R447">
        <v>47090.836810000001</v>
      </c>
      <c r="S447">
        <v>77788.128779999999</v>
      </c>
      <c r="Z447">
        <v>119195.072</v>
      </c>
      <c r="AF447">
        <v>530246.58360000001</v>
      </c>
      <c r="AI447">
        <v>8.0351303930000006E-2</v>
      </c>
      <c r="AJ447">
        <v>0.44707980190000002</v>
      </c>
      <c r="AK447">
        <v>0.23841850819999999</v>
      </c>
      <c r="AL447">
        <v>0.82228430819999998</v>
      </c>
      <c r="AM447">
        <v>-0.38561361259999999</v>
      </c>
      <c r="AN447">
        <v>-0.41774565520000001</v>
      </c>
      <c r="AS447">
        <v>0</v>
      </c>
      <c r="AT447">
        <v>0</v>
      </c>
      <c r="BK447">
        <v>0</v>
      </c>
      <c r="BL447">
        <v>8.2438313279999995E-2</v>
      </c>
      <c r="BM447">
        <v>0.79864930329999995</v>
      </c>
      <c r="BN447">
        <v>-0.56310858630000005</v>
      </c>
      <c r="CH447">
        <v>-0.85838216060000005</v>
      </c>
      <c r="CI447">
        <v>-2.528291375E-2</v>
      </c>
      <c r="CK447">
        <v>-0.19563214170000001</v>
      </c>
      <c r="CT447">
        <v>0.47357037880000002</v>
      </c>
      <c r="CU447">
        <v>0</v>
      </c>
      <c r="CV447">
        <v>0.51010690729999997</v>
      </c>
      <c r="CW447">
        <v>0.45497812780000002</v>
      </c>
      <c r="CX447">
        <v>0.55544301470000002</v>
      </c>
    </row>
    <row r="448" spans="1:102" x14ac:dyDescent="0.25">
      <c r="A448" t="s">
        <v>1023</v>
      </c>
      <c r="B448" t="s">
        <v>1024</v>
      </c>
      <c r="C448">
        <v>1000</v>
      </c>
      <c r="D448" t="s">
        <v>111</v>
      </c>
      <c r="F448">
        <v>25</v>
      </c>
      <c r="G448">
        <v>12.5</v>
      </c>
      <c r="H448">
        <v>12.5</v>
      </c>
      <c r="I448">
        <v>50</v>
      </c>
      <c r="J448">
        <f t="shared" si="12"/>
        <v>8</v>
      </c>
      <c r="K448">
        <f t="shared" si="13"/>
        <v>-1.2130075659799042</v>
      </c>
      <c r="L448">
        <v>33115.892019999999</v>
      </c>
      <c r="M448">
        <v>1</v>
      </c>
      <c r="R448">
        <v>58098.38291</v>
      </c>
      <c r="S448">
        <v>61857.281080000001</v>
      </c>
      <c r="Z448">
        <v>380534.67050000001</v>
      </c>
      <c r="AI448">
        <v>-0.2139356754</v>
      </c>
      <c r="AK448">
        <v>-0.50579055390000005</v>
      </c>
      <c r="AL448">
        <v>0.57638683319999995</v>
      </c>
      <c r="AM448">
        <v>-0.80458976130000004</v>
      </c>
      <c r="AS448">
        <v>0</v>
      </c>
      <c r="AT448">
        <v>0</v>
      </c>
      <c r="BK448">
        <v>0</v>
      </c>
      <c r="BL448">
        <v>-0.64183512519999997</v>
      </c>
      <c r="BM448">
        <v>-0.55395581599999999</v>
      </c>
      <c r="CH448">
        <v>0.83570774940000003</v>
      </c>
      <c r="CI448">
        <v>0.1428759406</v>
      </c>
      <c r="CK448">
        <v>-0.5302646754</v>
      </c>
    </row>
    <row r="449" spans="1:96" x14ac:dyDescent="0.25">
      <c r="A449" t="s">
        <v>1025</v>
      </c>
      <c r="B449" t="s">
        <v>1026</v>
      </c>
      <c r="C449">
        <v>1000</v>
      </c>
      <c r="D449" t="s">
        <v>111</v>
      </c>
      <c r="E449">
        <v>12.5</v>
      </c>
      <c r="G449">
        <v>25</v>
      </c>
      <c r="H449">
        <v>12.5</v>
      </c>
      <c r="I449">
        <v>50</v>
      </c>
      <c r="J449">
        <f t="shared" si="12"/>
        <v>8.5</v>
      </c>
      <c r="K449">
        <f t="shared" si="13"/>
        <v>-1.2130075659799042</v>
      </c>
      <c r="L449">
        <v>35743.082799999996</v>
      </c>
      <c r="M449">
        <v>1</v>
      </c>
      <c r="R449">
        <v>39794.862220000003</v>
      </c>
      <c r="S449">
        <v>57610.750829999997</v>
      </c>
      <c r="Z449">
        <v>436093.72749999998</v>
      </c>
      <c r="AJ449">
        <v>0.20271960419999999</v>
      </c>
      <c r="AK449">
        <v>0.55451103359999998</v>
      </c>
      <c r="AL449">
        <v>-0.65366365589999997</v>
      </c>
      <c r="AN449">
        <v>0.70633822660000001</v>
      </c>
      <c r="AS449">
        <v>0</v>
      </c>
      <c r="AT449">
        <v>0</v>
      </c>
      <c r="BK449">
        <v>0</v>
      </c>
      <c r="BL449">
        <v>0.51501587579999997</v>
      </c>
      <c r="BN449">
        <v>0.67822641299999997</v>
      </c>
      <c r="CH449">
        <v>-0.80710735079999996</v>
      </c>
      <c r="CI449">
        <v>-0.27168020640000001</v>
      </c>
      <c r="CK449">
        <v>0.52418277390000001</v>
      </c>
    </row>
    <row r="450" spans="1:96" x14ac:dyDescent="0.25">
      <c r="A450" t="s">
        <v>1027</v>
      </c>
      <c r="B450" t="s">
        <v>1028</v>
      </c>
      <c r="C450">
        <v>1000</v>
      </c>
      <c r="D450" t="s">
        <v>111</v>
      </c>
      <c r="F450">
        <v>12.5</v>
      </c>
      <c r="G450">
        <v>25</v>
      </c>
      <c r="H450">
        <v>12.5</v>
      </c>
      <c r="I450">
        <v>50</v>
      </c>
      <c r="J450">
        <f t="shared" si="12"/>
        <v>8.125</v>
      </c>
      <c r="K450">
        <f t="shared" si="13"/>
        <v>-1.2130075659799042</v>
      </c>
      <c r="L450">
        <v>34867.011209999997</v>
      </c>
      <c r="M450">
        <v>1</v>
      </c>
      <c r="R450">
        <v>38089.941639999997</v>
      </c>
      <c r="S450">
        <v>82355.615359999996</v>
      </c>
      <c r="Z450">
        <v>389232.45390000002</v>
      </c>
      <c r="AI450">
        <v>0.1837080706</v>
      </c>
      <c r="AK450">
        <v>-0.76883399559999999</v>
      </c>
      <c r="AL450">
        <v>0.29697108239999997</v>
      </c>
      <c r="AM450">
        <v>-0.74570063109999996</v>
      </c>
      <c r="AS450">
        <v>0</v>
      </c>
      <c r="AT450">
        <v>0</v>
      </c>
      <c r="BK450">
        <v>0</v>
      </c>
      <c r="BL450">
        <v>0.56630537930000002</v>
      </c>
      <c r="BM450">
        <v>0.64045391090000003</v>
      </c>
      <c r="CH450">
        <v>0.61249133219999996</v>
      </c>
      <c r="CI450">
        <v>0.59643838319999998</v>
      </c>
      <c r="CK450">
        <v>0.51876488440000001</v>
      </c>
    </row>
    <row r="451" spans="1:96" x14ac:dyDescent="0.25">
      <c r="A451" t="s">
        <v>1029</v>
      </c>
      <c r="B451" t="s">
        <v>1030</v>
      </c>
      <c r="C451">
        <v>1000</v>
      </c>
      <c r="D451" t="s">
        <v>111</v>
      </c>
      <c r="G451">
        <v>37.5</v>
      </c>
      <c r="H451">
        <v>12.5</v>
      </c>
      <c r="I451">
        <v>50</v>
      </c>
      <c r="J451">
        <f t="shared" ref="J451:J496" si="14">((10*E451)/100)+((7*F451)/100)+((8*G451)/100)+((6*H451)/100)+((9*I451)/100)</f>
        <v>8.25</v>
      </c>
      <c r="K451">
        <f t="shared" ref="K451:K496" si="15">IF(ISBLANK(E451)=TRUE,0,(E451/100)*LN(E451/100))+IF(ISBLANK(F451)=TRUE,0,(F451/100)*LN(F451/100))+IF(ISBLANK(G451)=TRUE,0,(G451/100)*LN(G451/100))+IF(ISBLANK(H451)=TRUE,0,(H451/100)*LN(H451/100))+IF(ISBLANK(I451)=TRUE,0,(I451/100)*LN(I451/100))</f>
        <v>-0.97431475286934943</v>
      </c>
      <c r="L451">
        <v>36574.658349999998</v>
      </c>
      <c r="M451">
        <v>1</v>
      </c>
      <c r="R451">
        <v>34332.141519999997</v>
      </c>
      <c r="S451">
        <v>254816.9265</v>
      </c>
      <c r="AK451">
        <v>-0.70771916030000004</v>
      </c>
      <c r="AL451">
        <v>-0.70649377840000005</v>
      </c>
      <c r="AS451">
        <v>0</v>
      </c>
      <c r="AT451">
        <v>0</v>
      </c>
      <c r="CH451">
        <v>0.70649387129999996</v>
      </c>
      <c r="CI451">
        <v>-0.70771925300000005</v>
      </c>
    </row>
    <row r="452" spans="1:96" x14ac:dyDescent="0.25">
      <c r="A452" t="s">
        <v>1031</v>
      </c>
      <c r="B452" t="s">
        <v>1032</v>
      </c>
      <c r="C452">
        <v>1000</v>
      </c>
      <c r="D452" t="s">
        <v>111</v>
      </c>
      <c r="E452">
        <v>25</v>
      </c>
      <c r="H452">
        <v>25</v>
      </c>
      <c r="I452">
        <v>50</v>
      </c>
      <c r="J452">
        <f t="shared" si="14"/>
        <v>8.5</v>
      </c>
      <c r="K452">
        <f t="shared" si="15"/>
        <v>-1.0397207708399179</v>
      </c>
      <c r="L452">
        <v>34598.043149999998</v>
      </c>
      <c r="M452">
        <v>1</v>
      </c>
      <c r="R452">
        <v>39214.825709999997</v>
      </c>
      <c r="S452">
        <v>230752.1231</v>
      </c>
      <c r="AJ452">
        <v>0.64167741389999999</v>
      </c>
      <c r="AN452">
        <v>-0.7669746408</v>
      </c>
      <c r="AS452">
        <v>0</v>
      </c>
      <c r="AT452">
        <v>0</v>
      </c>
      <c r="CH452">
        <v>-0.76697463870000004</v>
      </c>
      <c r="CI452">
        <v>-0.64167741140000001</v>
      </c>
    </row>
    <row r="453" spans="1:96" x14ac:dyDescent="0.25">
      <c r="A453" t="s">
        <v>1033</v>
      </c>
      <c r="B453" t="s">
        <v>1034</v>
      </c>
      <c r="C453">
        <v>1000</v>
      </c>
      <c r="D453" t="s">
        <v>111</v>
      </c>
      <c r="E453">
        <v>12.5</v>
      </c>
      <c r="F453">
        <v>12.5</v>
      </c>
      <c r="H453">
        <v>25</v>
      </c>
      <c r="I453">
        <v>50</v>
      </c>
      <c r="J453">
        <f t="shared" si="14"/>
        <v>8.125</v>
      </c>
      <c r="K453">
        <f t="shared" si="15"/>
        <v>-1.2130075659799042</v>
      </c>
      <c r="L453">
        <v>33050.87328</v>
      </c>
      <c r="M453">
        <v>1</v>
      </c>
      <c r="R453">
        <v>56681.176639999998</v>
      </c>
      <c r="S453">
        <v>111359.3749</v>
      </c>
      <c r="Z453">
        <v>261754.32939999999</v>
      </c>
      <c r="AI453">
        <v>4.3471165389999997E-2</v>
      </c>
      <c r="AJ453">
        <v>0.54402097199999999</v>
      </c>
      <c r="AM453">
        <v>0.85897510040000002</v>
      </c>
      <c r="AN453">
        <v>-0.44865507869999999</v>
      </c>
      <c r="AS453">
        <v>0</v>
      </c>
      <c r="AT453">
        <v>0</v>
      </c>
      <c r="BK453">
        <v>0</v>
      </c>
      <c r="BM453">
        <v>0.51016863329999995</v>
      </c>
      <c r="BN453">
        <v>0.7090485218</v>
      </c>
      <c r="CH453">
        <v>-0.8379447713</v>
      </c>
      <c r="CI453">
        <v>-0.24671926820000001</v>
      </c>
      <c r="CK453">
        <v>0.48680402560000002</v>
      </c>
    </row>
    <row r="454" spans="1:96" x14ac:dyDescent="0.25">
      <c r="A454" t="s">
        <v>1035</v>
      </c>
      <c r="B454" t="s">
        <v>1036</v>
      </c>
      <c r="C454">
        <v>1000</v>
      </c>
      <c r="D454" t="s">
        <v>111</v>
      </c>
      <c r="F454">
        <v>25</v>
      </c>
      <c r="H454">
        <v>25</v>
      </c>
      <c r="I454">
        <v>50</v>
      </c>
      <c r="J454">
        <f t="shared" si="14"/>
        <v>7.75</v>
      </c>
      <c r="K454">
        <f t="shared" si="15"/>
        <v>-1.0397207708399179</v>
      </c>
      <c r="L454">
        <v>32089.028429999998</v>
      </c>
      <c r="M454">
        <v>1</v>
      </c>
      <c r="R454">
        <v>64703.234530000002</v>
      </c>
      <c r="S454">
        <v>147116.61619999999</v>
      </c>
      <c r="AI454">
        <v>-0.65076029420000003</v>
      </c>
      <c r="AM454">
        <v>0.75928324150000004</v>
      </c>
      <c r="AS454">
        <v>0</v>
      </c>
      <c r="AT454">
        <v>0</v>
      </c>
      <c r="CH454">
        <v>0.75928324059999996</v>
      </c>
      <c r="CI454">
        <v>0.65076029319999995</v>
      </c>
    </row>
    <row r="455" spans="1:96" x14ac:dyDescent="0.25">
      <c r="A455" t="s">
        <v>1037</v>
      </c>
      <c r="B455" t="s">
        <v>1038</v>
      </c>
      <c r="C455">
        <v>1000</v>
      </c>
      <c r="D455" t="s">
        <v>111</v>
      </c>
      <c r="E455">
        <v>12.5</v>
      </c>
      <c r="G455">
        <v>12.5</v>
      </c>
      <c r="H455">
        <v>25</v>
      </c>
      <c r="I455">
        <v>50</v>
      </c>
      <c r="J455">
        <f t="shared" si="14"/>
        <v>8.25</v>
      </c>
      <c r="K455">
        <f t="shared" si="15"/>
        <v>-1.2130075659799042</v>
      </c>
      <c r="L455">
        <v>36371.719559999998</v>
      </c>
      <c r="M455">
        <v>1</v>
      </c>
      <c r="R455">
        <v>50799.817640000001</v>
      </c>
      <c r="S455">
        <v>79270.562420000002</v>
      </c>
      <c r="Z455">
        <v>303633.85279999999</v>
      </c>
      <c r="AJ455">
        <v>0.45581284370000003</v>
      </c>
      <c r="AK455">
        <v>0.1769735811</v>
      </c>
      <c r="AL455">
        <v>-0.82746183070000001</v>
      </c>
      <c r="AN455">
        <v>0.54879169100000003</v>
      </c>
      <c r="AS455">
        <v>0</v>
      </c>
      <c r="AT455">
        <v>0</v>
      </c>
      <c r="BK455">
        <v>0</v>
      </c>
      <c r="BL455">
        <v>-0.53290456070000003</v>
      </c>
      <c r="BN455">
        <v>-0.70075839920000005</v>
      </c>
      <c r="CH455">
        <v>-0.87230442109999995</v>
      </c>
      <c r="CI455">
        <v>0.1188890185</v>
      </c>
      <c r="CK455">
        <v>-0.4742893581</v>
      </c>
    </row>
    <row r="456" spans="1:96" x14ac:dyDescent="0.25">
      <c r="A456" t="s">
        <v>1039</v>
      </c>
      <c r="B456" t="s">
        <v>1040</v>
      </c>
      <c r="C456">
        <v>1000</v>
      </c>
      <c r="D456" t="s">
        <v>111</v>
      </c>
      <c r="F456">
        <v>12.5</v>
      </c>
      <c r="G456">
        <v>12.5</v>
      </c>
      <c r="H456">
        <v>25</v>
      </c>
      <c r="I456">
        <v>50</v>
      </c>
      <c r="J456">
        <f t="shared" si="14"/>
        <v>7.875</v>
      </c>
      <c r="K456">
        <f t="shared" si="15"/>
        <v>-1.2130075659799042</v>
      </c>
      <c r="L456">
        <v>34983.102619999998</v>
      </c>
      <c r="M456">
        <v>1</v>
      </c>
      <c r="R456">
        <v>59457.609880000004</v>
      </c>
      <c r="S456">
        <v>90392.175080000001</v>
      </c>
      <c r="Z456">
        <v>248965.80119999999</v>
      </c>
      <c r="AI456">
        <v>4.2484225110000003E-2</v>
      </c>
      <c r="AK456">
        <v>-0.59538773280000001</v>
      </c>
      <c r="AL456">
        <v>0.51173737019999999</v>
      </c>
      <c r="AM456">
        <v>-0.74978617650000001</v>
      </c>
      <c r="AS456">
        <v>0</v>
      </c>
      <c r="AT456">
        <v>0</v>
      </c>
      <c r="BK456">
        <v>0</v>
      </c>
      <c r="BL456">
        <v>-0.61938445350000004</v>
      </c>
      <c r="BM456">
        <v>-0.66031471009999998</v>
      </c>
      <c r="CH456">
        <v>0.80231448829999996</v>
      </c>
      <c r="CI456">
        <v>0.41945864319999998</v>
      </c>
      <c r="CK456">
        <v>-0.42467326529999999</v>
      </c>
    </row>
    <row r="457" spans="1:96" x14ac:dyDescent="0.25">
      <c r="A457" t="s">
        <v>1041</v>
      </c>
      <c r="B457" t="s">
        <v>1042</v>
      </c>
      <c r="C457">
        <v>1000</v>
      </c>
      <c r="D457" t="s">
        <v>111</v>
      </c>
      <c r="G457">
        <v>25</v>
      </c>
      <c r="H457">
        <v>25</v>
      </c>
      <c r="I457">
        <v>50</v>
      </c>
      <c r="J457">
        <f t="shared" si="14"/>
        <v>8</v>
      </c>
      <c r="K457">
        <f t="shared" si="15"/>
        <v>-1.0397207708399179</v>
      </c>
      <c r="L457">
        <v>37699.527979999999</v>
      </c>
      <c r="M457">
        <v>1</v>
      </c>
      <c r="R457">
        <v>43106.518989999997</v>
      </c>
      <c r="S457">
        <v>157880.34849999999</v>
      </c>
      <c r="AK457">
        <v>-0.69379696869999996</v>
      </c>
      <c r="AL457">
        <v>0.72017005950000001</v>
      </c>
      <c r="AS457">
        <v>0</v>
      </c>
      <c r="AT457">
        <v>0</v>
      </c>
      <c r="CH457">
        <v>0.72017065079999998</v>
      </c>
      <c r="CI457">
        <v>0.6937975824</v>
      </c>
    </row>
    <row r="458" spans="1:96" x14ac:dyDescent="0.25">
      <c r="A458" t="s">
        <v>1043</v>
      </c>
      <c r="B458" t="s">
        <v>1044</v>
      </c>
      <c r="C458">
        <v>1000</v>
      </c>
      <c r="D458" t="s">
        <v>111</v>
      </c>
      <c r="E458">
        <v>12.5</v>
      </c>
      <c r="H458">
        <v>37.5</v>
      </c>
      <c r="I458">
        <v>50</v>
      </c>
      <c r="J458">
        <f t="shared" si="14"/>
        <v>8</v>
      </c>
      <c r="K458">
        <f t="shared" si="15"/>
        <v>-0.97431475286934943</v>
      </c>
      <c r="L458">
        <v>36063.393790000002</v>
      </c>
      <c r="M458">
        <v>1</v>
      </c>
      <c r="R458">
        <v>56202.480920000002</v>
      </c>
      <c r="S458">
        <v>188722.8996</v>
      </c>
      <c r="AJ458">
        <v>0.4802796594</v>
      </c>
      <c r="AN458">
        <v>-0.87711541589999997</v>
      </c>
      <c r="AS458">
        <v>0</v>
      </c>
      <c r="AT458">
        <v>0</v>
      </c>
      <c r="CH458">
        <v>-0.8771154136</v>
      </c>
      <c r="CI458">
        <v>-0.48027965509999998</v>
      </c>
    </row>
    <row r="459" spans="1:96" x14ac:dyDescent="0.25">
      <c r="A459" t="s">
        <v>1045</v>
      </c>
      <c r="B459" t="s">
        <v>1046</v>
      </c>
      <c r="C459">
        <v>1000</v>
      </c>
      <c r="D459" t="s">
        <v>291</v>
      </c>
      <c r="F459">
        <v>12.5</v>
      </c>
      <c r="H459">
        <v>37.5</v>
      </c>
      <c r="I459">
        <v>50</v>
      </c>
      <c r="J459">
        <f t="shared" si="14"/>
        <v>7.625</v>
      </c>
      <c r="K459">
        <f t="shared" si="15"/>
        <v>-0.97431475286934943</v>
      </c>
      <c r="L459">
        <v>32559.96672</v>
      </c>
      <c r="M459">
        <v>0.61649126139999999</v>
      </c>
      <c r="P459">
        <v>0.38350873860000001</v>
      </c>
      <c r="R459">
        <v>71817.209440000006</v>
      </c>
      <c r="S459">
        <v>153894.69409999999</v>
      </c>
      <c r="W459">
        <v>88083.262109999996</v>
      </c>
      <c r="X459">
        <v>141904.39720000001</v>
      </c>
      <c r="AI459">
        <v>-0.35815980130000002</v>
      </c>
      <c r="AM459">
        <v>0.93366030099999997</v>
      </c>
      <c r="AS459">
        <v>0</v>
      </c>
      <c r="AT459">
        <v>0</v>
      </c>
      <c r="AZ459">
        <v>0</v>
      </c>
      <c r="BA459">
        <v>-0.2091273381</v>
      </c>
      <c r="BC459">
        <v>0</v>
      </c>
      <c r="BD459">
        <v>0.97788841989999997</v>
      </c>
      <c r="CH459">
        <v>0.93366030050000004</v>
      </c>
      <c r="CI459">
        <v>0.35815979990000002</v>
      </c>
      <c r="CQ459">
        <v>0.97788841719999997</v>
      </c>
      <c r="CR459">
        <v>0.20912732549999999</v>
      </c>
    </row>
    <row r="460" spans="1:96" x14ac:dyDescent="0.25">
      <c r="A460" t="s">
        <v>1047</v>
      </c>
      <c r="B460" t="s">
        <v>1048</v>
      </c>
      <c r="C460">
        <v>1000</v>
      </c>
      <c r="D460" t="s">
        <v>215</v>
      </c>
      <c r="G460">
        <v>12.5</v>
      </c>
      <c r="H460">
        <v>37.5</v>
      </c>
      <c r="I460">
        <v>50</v>
      </c>
      <c r="J460">
        <f t="shared" si="14"/>
        <v>7.75</v>
      </c>
      <c r="K460">
        <f t="shared" si="15"/>
        <v>-0.97431475286934943</v>
      </c>
      <c r="L460">
        <v>36772.714010000003</v>
      </c>
      <c r="M460">
        <v>0.59559362039999997</v>
      </c>
      <c r="P460">
        <v>0.40440637959999998</v>
      </c>
      <c r="R460">
        <v>56784.237000000001</v>
      </c>
      <c r="S460">
        <v>148124.2825</v>
      </c>
      <c r="W460">
        <v>76749.414260000005</v>
      </c>
      <c r="X460">
        <v>136220.9117</v>
      </c>
      <c r="AK460">
        <v>-0.52218487300000005</v>
      </c>
      <c r="AL460">
        <v>0.85283253439999995</v>
      </c>
      <c r="AS460">
        <v>0</v>
      </c>
      <c r="AT460">
        <v>0</v>
      </c>
      <c r="AZ460">
        <v>0</v>
      </c>
      <c r="BC460">
        <v>0</v>
      </c>
      <c r="BO460">
        <v>-0.43635422509999999</v>
      </c>
      <c r="BP460">
        <v>0.89977497250000005</v>
      </c>
      <c r="CH460">
        <v>0.85283231550000005</v>
      </c>
      <c r="CI460">
        <v>0.52218451560000001</v>
      </c>
      <c r="CQ460">
        <v>0.8997749665</v>
      </c>
      <c r="CR460">
        <v>0.4363542125</v>
      </c>
    </row>
    <row r="461" spans="1:96" x14ac:dyDescent="0.25">
      <c r="A461" t="s">
        <v>1049</v>
      </c>
      <c r="B461" t="s">
        <v>1050</v>
      </c>
      <c r="C461">
        <v>1000</v>
      </c>
      <c r="D461" t="s">
        <v>291</v>
      </c>
      <c r="H461">
        <v>50</v>
      </c>
      <c r="I461">
        <v>50</v>
      </c>
      <c r="J461">
        <f t="shared" si="14"/>
        <v>7.5</v>
      </c>
      <c r="K461">
        <f t="shared" si="15"/>
        <v>-0.69314718055994529</v>
      </c>
      <c r="L461">
        <v>34267.860130000001</v>
      </c>
      <c r="M461">
        <v>0.2125659453</v>
      </c>
      <c r="P461">
        <v>0.78743405470000005</v>
      </c>
      <c r="R461">
        <v>67167.475990000006</v>
      </c>
      <c r="W461">
        <v>79931.944619999995</v>
      </c>
      <c r="AS461">
        <v>0</v>
      </c>
      <c r="AZ461">
        <v>0</v>
      </c>
      <c r="CH461">
        <v>1</v>
      </c>
      <c r="CQ461">
        <v>1</v>
      </c>
    </row>
    <row r="462" spans="1:96" x14ac:dyDescent="0.25">
      <c r="A462" t="s">
        <v>1051</v>
      </c>
      <c r="B462" t="s">
        <v>1052</v>
      </c>
      <c r="C462">
        <v>1000</v>
      </c>
      <c r="D462" t="s">
        <v>111</v>
      </c>
      <c r="E462">
        <v>37.5</v>
      </c>
      <c r="I462">
        <v>62.5</v>
      </c>
      <c r="J462">
        <f t="shared" si="14"/>
        <v>9.375</v>
      </c>
      <c r="K462">
        <f t="shared" si="15"/>
        <v>-0.66156323815798213</v>
      </c>
      <c r="L462">
        <v>33506.906790000001</v>
      </c>
      <c r="M462">
        <v>1</v>
      </c>
      <c r="R462">
        <v>42387.942490000001</v>
      </c>
      <c r="AJ462">
        <v>1</v>
      </c>
      <c r="CH462">
        <v>0</v>
      </c>
    </row>
    <row r="463" spans="1:96" x14ac:dyDescent="0.25">
      <c r="A463" t="s">
        <v>1053</v>
      </c>
      <c r="B463" t="s">
        <v>1054</v>
      </c>
      <c r="C463">
        <v>1000</v>
      </c>
      <c r="D463" t="s">
        <v>111</v>
      </c>
      <c r="E463">
        <v>25</v>
      </c>
      <c r="F463">
        <v>12.5</v>
      </c>
      <c r="I463">
        <v>62.5</v>
      </c>
      <c r="J463">
        <f t="shared" si="14"/>
        <v>9</v>
      </c>
      <c r="K463">
        <f t="shared" si="15"/>
        <v>-0.90025605126853692</v>
      </c>
      <c r="L463">
        <v>32491.51079</v>
      </c>
      <c r="M463">
        <v>1</v>
      </c>
      <c r="R463">
        <v>27569.072469999999</v>
      </c>
      <c r="S463">
        <v>324492.6262</v>
      </c>
      <c r="AI463">
        <v>0</v>
      </c>
      <c r="AJ463">
        <v>0.64609877559999995</v>
      </c>
      <c r="AM463">
        <v>0</v>
      </c>
      <c r="AN463">
        <v>-0.76325380809999999</v>
      </c>
      <c r="CH463">
        <v>-0.76325380590000003</v>
      </c>
      <c r="CI463">
        <v>-0.64609877289999995</v>
      </c>
    </row>
    <row r="464" spans="1:96" x14ac:dyDescent="0.25">
      <c r="A464" t="s">
        <v>1055</v>
      </c>
      <c r="B464" t="s">
        <v>1056</v>
      </c>
      <c r="C464">
        <v>1000</v>
      </c>
      <c r="D464" t="s">
        <v>111</v>
      </c>
      <c r="E464">
        <v>12.5</v>
      </c>
      <c r="F464">
        <v>25</v>
      </c>
      <c r="I464">
        <v>62.5</v>
      </c>
      <c r="J464">
        <f t="shared" si="14"/>
        <v>8.625</v>
      </c>
      <c r="K464">
        <f t="shared" si="15"/>
        <v>-0.90025605126853692</v>
      </c>
      <c r="L464">
        <v>31828.626390000001</v>
      </c>
      <c r="M464">
        <v>1</v>
      </c>
      <c r="R464">
        <v>44124.68881</v>
      </c>
      <c r="S464">
        <v>269312.22330000001</v>
      </c>
      <c r="AI464">
        <v>0</v>
      </c>
      <c r="AJ464">
        <v>0.56810067909999995</v>
      </c>
      <c r="AM464">
        <v>0</v>
      </c>
      <c r="AN464">
        <v>-0.82295906399999996</v>
      </c>
      <c r="CH464">
        <v>-0.82295906240000005</v>
      </c>
      <c r="CI464">
        <v>-0.56810067679999998</v>
      </c>
    </row>
    <row r="465" spans="1:89" x14ac:dyDescent="0.25">
      <c r="A465" t="s">
        <v>1057</v>
      </c>
      <c r="B465" t="s">
        <v>1058</v>
      </c>
      <c r="C465">
        <v>1000</v>
      </c>
      <c r="D465" t="s">
        <v>111</v>
      </c>
      <c r="F465">
        <v>37.5</v>
      </c>
      <c r="I465">
        <v>62.5</v>
      </c>
      <c r="J465">
        <f t="shared" si="14"/>
        <v>8.25</v>
      </c>
      <c r="K465">
        <f t="shared" si="15"/>
        <v>-0.66156323815798213</v>
      </c>
      <c r="L465">
        <v>32029.50389</v>
      </c>
      <c r="M465">
        <v>1</v>
      </c>
      <c r="R465">
        <v>96191.755950000006</v>
      </c>
      <c r="AI465">
        <v>0</v>
      </c>
      <c r="CH465">
        <v>1</v>
      </c>
    </row>
    <row r="466" spans="1:89" x14ac:dyDescent="0.25">
      <c r="A466" t="s">
        <v>1059</v>
      </c>
      <c r="B466" t="s">
        <v>1060</v>
      </c>
      <c r="C466">
        <v>1000</v>
      </c>
      <c r="D466" t="s">
        <v>111</v>
      </c>
      <c r="E466">
        <v>25</v>
      </c>
      <c r="G466">
        <v>12.5</v>
      </c>
      <c r="I466">
        <v>62.5</v>
      </c>
      <c r="J466">
        <f t="shared" si="14"/>
        <v>9.125</v>
      </c>
      <c r="K466">
        <f t="shared" si="15"/>
        <v>-0.90025605126853692</v>
      </c>
      <c r="L466">
        <v>33326.165029999996</v>
      </c>
      <c r="M466">
        <v>1</v>
      </c>
      <c r="R466">
        <v>25952.581099999999</v>
      </c>
      <c r="S466">
        <v>243569.45009999999</v>
      </c>
      <c r="AJ466">
        <v>0.66996604230000001</v>
      </c>
      <c r="AK466">
        <v>0</v>
      </c>
      <c r="AL466">
        <v>0</v>
      </c>
      <c r="AN466">
        <v>-0.74239170359999995</v>
      </c>
      <c r="CH466">
        <v>-0.7423917444</v>
      </c>
      <c r="CI466">
        <v>-0.66996608749999997</v>
      </c>
    </row>
    <row r="467" spans="1:89" x14ac:dyDescent="0.25">
      <c r="A467" t="s">
        <v>1061</v>
      </c>
      <c r="B467" t="s">
        <v>1062</v>
      </c>
      <c r="C467">
        <v>1000</v>
      </c>
      <c r="D467" t="s">
        <v>111</v>
      </c>
      <c r="E467">
        <v>12.5</v>
      </c>
      <c r="F467">
        <v>12.5</v>
      </c>
      <c r="G467">
        <v>12.5</v>
      </c>
      <c r="I467">
        <v>62.5</v>
      </c>
      <c r="J467">
        <f t="shared" si="14"/>
        <v>8.75</v>
      </c>
      <c r="K467">
        <f t="shared" si="15"/>
        <v>-1.073542846408523</v>
      </c>
      <c r="L467">
        <v>33371.463100000001</v>
      </c>
      <c r="M467">
        <v>1</v>
      </c>
      <c r="R467">
        <v>38019.115469999997</v>
      </c>
      <c r="S467">
        <v>83766.863209999996</v>
      </c>
      <c r="Z467">
        <v>422046.92369999998</v>
      </c>
      <c r="AI467">
        <v>0</v>
      </c>
      <c r="AJ467">
        <v>0.4788128411</v>
      </c>
      <c r="AK467">
        <v>0.21284463200000001</v>
      </c>
      <c r="AL467">
        <v>-0.83945912410000001</v>
      </c>
      <c r="AM467">
        <v>0</v>
      </c>
      <c r="AN467">
        <v>0.53568692429999998</v>
      </c>
      <c r="BL467">
        <v>-0.50000554450000001</v>
      </c>
      <c r="BM467">
        <v>0</v>
      </c>
      <c r="BN467">
        <v>-0.69554135910000003</v>
      </c>
      <c r="CH467">
        <v>-0.85172497069999997</v>
      </c>
      <c r="CI467">
        <v>9.1366832410000001E-2</v>
      </c>
      <c r="CK467">
        <v>-0.51596189120000002</v>
      </c>
    </row>
    <row r="468" spans="1:89" x14ac:dyDescent="0.25">
      <c r="A468" t="s">
        <v>1063</v>
      </c>
      <c r="B468" t="s">
        <v>1064</v>
      </c>
      <c r="C468">
        <v>1000</v>
      </c>
      <c r="D468" t="s">
        <v>111</v>
      </c>
      <c r="F468">
        <v>25</v>
      </c>
      <c r="G468">
        <v>12.5</v>
      </c>
      <c r="I468">
        <v>62.5</v>
      </c>
      <c r="J468">
        <f t="shared" si="14"/>
        <v>8.375</v>
      </c>
      <c r="K468">
        <f t="shared" si="15"/>
        <v>-0.90025605126853692</v>
      </c>
      <c r="L468">
        <v>33224.56366</v>
      </c>
      <c r="M468">
        <v>1</v>
      </c>
      <c r="R468">
        <v>57015.193500000001</v>
      </c>
      <c r="S468">
        <v>175905.20449999999</v>
      </c>
      <c r="AI468">
        <v>0</v>
      </c>
      <c r="AK468">
        <v>-0.66107775879999997</v>
      </c>
      <c r="AL468">
        <v>0.75031677360000004</v>
      </c>
      <c r="AM468">
        <v>0</v>
      </c>
      <c r="CH468">
        <v>0.75031739740000003</v>
      </c>
      <c r="CI468">
        <v>0.66107846680000004</v>
      </c>
    </row>
    <row r="469" spans="1:89" x14ac:dyDescent="0.25">
      <c r="A469" t="s">
        <v>1065</v>
      </c>
      <c r="B469" t="s">
        <v>1066</v>
      </c>
      <c r="C469">
        <v>1000</v>
      </c>
      <c r="D469" t="s">
        <v>111</v>
      </c>
      <c r="E469">
        <v>12.5</v>
      </c>
      <c r="G469">
        <v>25</v>
      </c>
      <c r="I469">
        <v>62.5</v>
      </c>
      <c r="J469">
        <f t="shared" si="14"/>
        <v>8.875</v>
      </c>
      <c r="K469">
        <f t="shared" si="15"/>
        <v>-0.90025605126853692</v>
      </c>
      <c r="L469">
        <v>34226.73315</v>
      </c>
      <c r="M469">
        <v>1</v>
      </c>
      <c r="R469">
        <v>39315.584759999998</v>
      </c>
      <c r="S469">
        <v>164306.7899</v>
      </c>
      <c r="AJ469">
        <v>0.52581872370000005</v>
      </c>
      <c r="AK469">
        <v>0</v>
      </c>
      <c r="AL469">
        <v>0</v>
      </c>
      <c r="AN469">
        <v>-0.85059667709999998</v>
      </c>
      <c r="CH469">
        <v>-0.85059665520000005</v>
      </c>
      <c r="CI469">
        <v>-0.5258186882</v>
      </c>
    </row>
    <row r="470" spans="1:89" x14ac:dyDescent="0.25">
      <c r="A470" t="s">
        <v>1067</v>
      </c>
      <c r="B470" t="s">
        <v>1068</v>
      </c>
      <c r="C470">
        <v>1000</v>
      </c>
      <c r="D470" t="s">
        <v>111</v>
      </c>
      <c r="F470">
        <v>12.5</v>
      </c>
      <c r="G470">
        <v>25</v>
      </c>
      <c r="I470">
        <v>62.5</v>
      </c>
      <c r="J470">
        <f t="shared" si="14"/>
        <v>8.5</v>
      </c>
      <c r="K470">
        <f t="shared" si="15"/>
        <v>-0.90025605126853692</v>
      </c>
      <c r="L470">
        <v>34452.999589999999</v>
      </c>
      <c r="M470">
        <v>1</v>
      </c>
      <c r="R470">
        <v>36221.62801</v>
      </c>
      <c r="S470">
        <v>223840.00630000001</v>
      </c>
      <c r="AI470">
        <v>0</v>
      </c>
      <c r="AK470">
        <v>-0.7421939233</v>
      </c>
      <c r="AL470">
        <v>-0.67018519139999999</v>
      </c>
      <c r="AM470">
        <v>0</v>
      </c>
      <c r="CH470">
        <v>0.67018518360000001</v>
      </c>
      <c r="CI470">
        <v>-0.74219391619999997</v>
      </c>
    </row>
    <row r="471" spans="1:89" x14ac:dyDescent="0.25">
      <c r="A471" t="s">
        <v>1069</v>
      </c>
      <c r="B471" t="s">
        <v>1070</v>
      </c>
      <c r="C471">
        <v>1000</v>
      </c>
      <c r="D471" t="s">
        <v>111</v>
      </c>
      <c r="G471">
        <v>37.5</v>
      </c>
      <c r="I471">
        <v>62.5</v>
      </c>
      <c r="J471">
        <f t="shared" si="14"/>
        <v>8.625</v>
      </c>
      <c r="K471">
        <f t="shared" si="15"/>
        <v>-0.66156323815798213</v>
      </c>
      <c r="L471">
        <v>35325.686020000001</v>
      </c>
      <c r="M471">
        <v>1</v>
      </c>
      <c r="R471">
        <v>56660.388910000001</v>
      </c>
      <c r="AK471">
        <v>0</v>
      </c>
      <c r="CH471">
        <v>1</v>
      </c>
    </row>
    <row r="472" spans="1:89" x14ac:dyDescent="0.25">
      <c r="A472" t="s">
        <v>1071</v>
      </c>
      <c r="B472" t="s">
        <v>1072</v>
      </c>
      <c r="C472">
        <v>1000</v>
      </c>
      <c r="D472" t="s">
        <v>111</v>
      </c>
      <c r="E472">
        <v>25</v>
      </c>
      <c r="H472">
        <v>12.5</v>
      </c>
      <c r="I472">
        <v>62.5</v>
      </c>
      <c r="J472">
        <f t="shared" si="14"/>
        <v>8.875</v>
      </c>
      <c r="K472">
        <f t="shared" si="15"/>
        <v>-0.90025605126853692</v>
      </c>
      <c r="L472">
        <v>34853.183449999997</v>
      </c>
      <c r="M472">
        <v>1</v>
      </c>
      <c r="R472">
        <v>30167.730909999998</v>
      </c>
      <c r="S472">
        <v>324403.55820000003</v>
      </c>
      <c r="AJ472">
        <v>0.62398652669999999</v>
      </c>
      <c r="AN472">
        <v>-0.78143510270000005</v>
      </c>
      <c r="AS472">
        <v>0</v>
      </c>
      <c r="AT472">
        <v>0</v>
      </c>
      <c r="CH472">
        <v>-0.78143509929999999</v>
      </c>
      <c r="CI472">
        <v>-0.62398652259999998</v>
      </c>
    </row>
    <row r="473" spans="1:89" x14ac:dyDescent="0.25">
      <c r="A473" t="s">
        <v>1073</v>
      </c>
      <c r="B473" t="s">
        <v>1074</v>
      </c>
      <c r="C473">
        <v>1000</v>
      </c>
      <c r="D473" t="s">
        <v>111</v>
      </c>
      <c r="E473">
        <v>12.5</v>
      </c>
      <c r="F473">
        <v>12.5</v>
      </c>
      <c r="H473">
        <v>12.5</v>
      </c>
      <c r="I473">
        <v>62.5</v>
      </c>
      <c r="J473">
        <f t="shared" si="14"/>
        <v>8.5</v>
      </c>
      <c r="K473">
        <f t="shared" si="15"/>
        <v>-1.073542846408523</v>
      </c>
      <c r="L473">
        <v>33207.615210000004</v>
      </c>
      <c r="M473">
        <v>1</v>
      </c>
      <c r="R473">
        <v>47177.661410000001</v>
      </c>
      <c r="S473">
        <v>119052.8864</v>
      </c>
      <c r="Z473">
        <v>419982.60249999998</v>
      </c>
      <c r="AI473">
        <v>0.1339096162</v>
      </c>
      <c r="AJ473">
        <v>0.52738545299999995</v>
      </c>
      <c r="AM473">
        <v>0.83803269420000004</v>
      </c>
      <c r="AN473">
        <v>-0.51214515969999996</v>
      </c>
      <c r="AS473">
        <v>0</v>
      </c>
      <c r="AT473">
        <v>0</v>
      </c>
      <c r="BK473">
        <v>0</v>
      </c>
      <c r="BM473">
        <v>0.52893233910000004</v>
      </c>
      <c r="BN473">
        <v>0.67791734110000001</v>
      </c>
      <c r="CH473">
        <v>-0.83900703129999998</v>
      </c>
      <c r="CI473">
        <v>-0.18817156739999999</v>
      </c>
      <c r="CK473">
        <v>0.51054741140000004</v>
      </c>
    </row>
    <row r="474" spans="1:89" x14ac:dyDescent="0.25">
      <c r="A474" t="s">
        <v>1075</v>
      </c>
      <c r="B474" t="s">
        <v>1076</v>
      </c>
      <c r="C474">
        <v>1000</v>
      </c>
      <c r="D474" t="s">
        <v>111</v>
      </c>
      <c r="F474">
        <v>25</v>
      </c>
      <c r="H474">
        <v>12.5</v>
      </c>
      <c r="I474">
        <v>62.5</v>
      </c>
      <c r="J474">
        <f t="shared" si="14"/>
        <v>8.125</v>
      </c>
      <c r="K474">
        <f t="shared" si="15"/>
        <v>-0.90025605126853692</v>
      </c>
      <c r="L474">
        <v>32475.839510000002</v>
      </c>
      <c r="M474">
        <v>1</v>
      </c>
      <c r="R474">
        <v>59107.324589999997</v>
      </c>
      <c r="S474">
        <v>241670.86569999999</v>
      </c>
      <c r="AI474">
        <v>-0.65618117909999996</v>
      </c>
      <c r="AM474">
        <v>0.75460337980000003</v>
      </c>
      <c r="AS474">
        <v>0</v>
      </c>
      <c r="AT474">
        <v>0</v>
      </c>
      <c r="CH474">
        <v>0.7546033794</v>
      </c>
      <c r="CI474">
        <v>0.65618117860000003</v>
      </c>
    </row>
    <row r="475" spans="1:89" x14ac:dyDescent="0.25">
      <c r="A475" t="s">
        <v>1077</v>
      </c>
      <c r="B475" t="s">
        <v>1078</v>
      </c>
      <c r="C475">
        <v>1000</v>
      </c>
      <c r="D475" t="s">
        <v>111</v>
      </c>
      <c r="E475">
        <v>12.5</v>
      </c>
      <c r="G475">
        <v>12.5</v>
      </c>
      <c r="H475">
        <v>12.5</v>
      </c>
      <c r="I475">
        <v>62.5</v>
      </c>
      <c r="J475">
        <f t="shared" si="14"/>
        <v>8.625</v>
      </c>
      <c r="K475">
        <f t="shared" si="15"/>
        <v>-1.073542846408523</v>
      </c>
      <c r="L475">
        <v>35851.655200000001</v>
      </c>
      <c r="M475">
        <v>1</v>
      </c>
      <c r="R475">
        <v>41069.663560000001</v>
      </c>
      <c r="S475">
        <v>82503.39301</v>
      </c>
      <c r="Z475">
        <v>434307.21960000001</v>
      </c>
      <c r="AJ475">
        <v>0.47250563740000001</v>
      </c>
      <c r="AK475">
        <v>0.16445763869999999</v>
      </c>
      <c r="AL475">
        <v>-0.8208785139</v>
      </c>
      <c r="AN475">
        <v>0.55226691480000001</v>
      </c>
      <c r="AS475">
        <v>0</v>
      </c>
      <c r="AT475">
        <v>0</v>
      </c>
      <c r="BK475">
        <v>0</v>
      </c>
      <c r="BL475">
        <v>-0.54691147090000003</v>
      </c>
      <c r="BN475">
        <v>-0.68683307589999998</v>
      </c>
      <c r="CH475">
        <v>-0.86584762390000003</v>
      </c>
      <c r="CI475">
        <v>0.14546381050000001</v>
      </c>
      <c r="CK475">
        <v>-0.47869423319999999</v>
      </c>
    </row>
    <row r="476" spans="1:89" x14ac:dyDescent="0.25">
      <c r="A476" t="s">
        <v>1079</v>
      </c>
      <c r="B476" t="s">
        <v>1080</v>
      </c>
      <c r="C476">
        <v>1000</v>
      </c>
      <c r="D476" t="s">
        <v>111</v>
      </c>
      <c r="F476">
        <v>12.5</v>
      </c>
      <c r="G476">
        <v>12.5</v>
      </c>
      <c r="H476">
        <v>12.5</v>
      </c>
      <c r="I476">
        <v>62.5</v>
      </c>
      <c r="J476">
        <f t="shared" si="14"/>
        <v>8.25</v>
      </c>
      <c r="K476">
        <f t="shared" si="15"/>
        <v>-1.073542846408523</v>
      </c>
      <c r="L476">
        <v>34676.165150000001</v>
      </c>
      <c r="M476">
        <v>1</v>
      </c>
      <c r="R476">
        <v>56297.44687</v>
      </c>
      <c r="S476">
        <v>87872.887130000003</v>
      </c>
      <c r="Z476">
        <v>397396.37660000002</v>
      </c>
      <c r="AI476">
        <v>-3.7592885149999998E-2</v>
      </c>
      <c r="AK476">
        <v>-0.58482876969999997</v>
      </c>
      <c r="AL476">
        <v>0.527611987</v>
      </c>
      <c r="AM476">
        <v>-0.77636762829999995</v>
      </c>
      <c r="AS476">
        <v>0</v>
      </c>
      <c r="AT476">
        <v>0</v>
      </c>
      <c r="BK476">
        <v>0</v>
      </c>
      <c r="BL476">
        <v>-0.61611760839999996</v>
      </c>
      <c r="BM476">
        <v>-0.62915823069999999</v>
      </c>
      <c r="CH476">
        <v>0.8102851875</v>
      </c>
      <c r="CI476">
        <v>0.34478819129999999</v>
      </c>
      <c r="CK476">
        <v>-0.47387658040000002</v>
      </c>
    </row>
    <row r="477" spans="1:89" x14ac:dyDescent="0.25">
      <c r="A477" t="s">
        <v>1081</v>
      </c>
      <c r="B477" t="s">
        <v>1082</v>
      </c>
      <c r="C477">
        <v>1000</v>
      </c>
      <c r="D477" t="s">
        <v>111</v>
      </c>
      <c r="G477">
        <v>25</v>
      </c>
      <c r="H477">
        <v>12.5</v>
      </c>
      <c r="I477">
        <v>62.5</v>
      </c>
      <c r="J477">
        <f t="shared" si="14"/>
        <v>8.375</v>
      </c>
      <c r="K477">
        <f t="shared" si="15"/>
        <v>-0.90025605126853692</v>
      </c>
      <c r="L477">
        <v>36747.003259999998</v>
      </c>
      <c r="M477">
        <v>1</v>
      </c>
      <c r="R477">
        <v>39080.717120000001</v>
      </c>
      <c r="S477">
        <v>240554.5674</v>
      </c>
      <c r="AK477">
        <v>-0.65926550449999999</v>
      </c>
      <c r="AL477">
        <v>0.75191023779999999</v>
      </c>
      <c r="AS477">
        <v>0</v>
      </c>
      <c r="AT477">
        <v>0</v>
      </c>
      <c r="CH477">
        <v>0.75191023040000005</v>
      </c>
      <c r="CI477">
        <v>0.65926549609999996</v>
      </c>
    </row>
    <row r="478" spans="1:89" x14ac:dyDescent="0.25">
      <c r="A478" t="s">
        <v>1083</v>
      </c>
      <c r="B478" t="s">
        <v>1084</v>
      </c>
      <c r="C478">
        <v>1000</v>
      </c>
      <c r="D478" t="s">
        <v>111</v>
      </c>
      <c r="E478">
        <v>12.5</v>
      </c>
      <c r="H478">
        <v>25</v>
      </c>
      <c r="I478">
        <v>62.5</v>
      </c>
      <c r="J478">
        <f t="shared" si="14"/>
        <v>8.375</v>
      </c>
      <c r="K478">
        <f t="shared" si="15"/>
        <v>-0.90025605126853692</v>
      </c>
      <c r="L478">
        <v>36016.092060000003</v>
      </c>
      <c r="M478">
        <v>1</v>
      </c>
      <c r="R478">
        <v>47047.48992</v>
      </c>
      <c r="S478">
        <v>247044.05129999999</v>
      </c>
      <c r="AJ478">
        <v>0.50187332299999998</v>
      </c>
      <c r="AN478">
        <v>-0.8649411373</v>
      </c>
      <c r="AS478">
        <v>0</v>
      </c>
      <c r="AT478">
        <v>0</v>
      </c>
      <c r="CH478">
        <v>-0.86494113539999995</v>
      </c>
      <c r="CI478">
        <v>-0.50187331970000004</v>
      </c>
    </row>
    <row r="479" spans="1:89" x14ac:dyDescent="0.25">
      <c r="A479" t="s">
        <v>1085</v>
      </c>
      <c r="B479" t="s">
        <v>1086</v>
      </c>
      <c r="C479">
        <v>1000</v>
      </c>
      <c r="D479" t="s">
        <v>111</v>
      </c>
      <c r="F479">
        <v>12.5</v>
      </c>
      <c r="H479">
        <v>25</v>
      </c>
      <c r="I479">
        <v>62.5</v>
      </c>
      <c r="J479">
        <f t="shared" si="14"/>
        <v>8</v>
      </c>
      <c r="K479">
        <f t="shared" si="15"/>
        <v>-0.90025605126853692</v>
      </c>
      <c r="L479">
        <v>34284.710279999999</v>
      </c>
      <c r="M479">
        <v>1</v>
      </c>
      <c r="R479">
        <v>71040.343540000002</v>
      </c>
      <c r="S479">
        <v>180061.13519999999</v>
      </c>
      <c r="AI479">
        <v>-0.39485329289999999</v>
      </c>
      <c r="AM479">
        <v>0.91874418530000002</v>
      </c>
      <c r="AS479">
        <v>0</v>
      </c>
      <c r="AT479">
        <v>0</v>
      </c>
      <c r="CH479">
        <v>0.91874418479999997</v>
      </c>
      <c r="CI479">
        <v>0.39485329180000001</v>
      </c>
    </row>
    <row r="480" spans="1:89" x14ac:dyDescent="0.25">
      <c r="A480" t="s">
        <v>1087</v>
      </c>
      <c r="B480" t="s">
        <v>1088</v>
      </c>
      <c r="C480">
        <v>1000</v>
      </c>
      <c r="D480" t="s">
        <v>111</v>
      </c>
      <c r="G480">
        <v>12.5</v>
      </c>
      <c r="H480">
        <v>25</v>
      </c>
      <c r="I480">
        <v>62.5</v>
      </c>
      <c r="J480">
        <f t="shared" si="14"/>
        <v>8.125</v>
      </c>
      <c r="K480">
        <f t="shared" si="15"/>
        <v>-0.90025605126853692</v>
      </c>
      <c r="L480">
        <v>37606.528420000002</v>
      </c>
      <c r="M480">
        <v>1</v>
      </c>
      <c r="R480">
        <v>56064.624239999997</v>
      </c>
      <c r="S480">
        <v>173225.5509</v>
      </c>
      <c r="AK480">
        <v>-0.51251543870000005</v>
      </c>
      <c r="AL480">
        <v>0.85867801269999999</v>
      </c>
      <c r="AS480">
        <v>0</v>
      </c>
      <c r="AT480">
        <v>0</v>
      </c>
      <c r="CH480">
        <v>0.8586780101</v>
      </c>
      <c r="CI480">
        <v>0.51251543450000003</v>
      </c>
    </row>
    <row r="481" spans="1:95" x14ac:dyDescent="0.25">
      <c r="A481" t="s">
        <v>1089</v>
      </c>
      <c r="B481" t="s">
        <v>1090</v>
      </c>
      <c r="C481">
        <v>1000</v>
      </c>
      <c r="D481" t="s">
        <v>215</v>
      </c>
      <c r="H481">
        <v>37.5</v>
      </c>
      <c r="I481">
        <v>62.5</v>
      </c>
      <c r="J481">
        <f t="shared" si="14"/>
        <v>7.875</v>
      </c>
      <c r="K481">
        <f t="shared" si="15"/>
        <v>-0.66156323815798213</v>
      </c>
      <c r="L481">
        <v>37206.538139999997</v>
      </c>
      <c r="M481">
        <v>0.93454277429999999</v>
      </c>
      <c r="P481">
        <v>6.5457225709999997E-2</v>
      </c>
      <c r="R481">
        <v>67167.475630000001</v>
      </c>
      <c r="W481">
        <v>79931.945770000006</v>
      </c>
      <c r="AS481">
        <v>0</v>
      </c>
      <c r="AZ481">
        <v>0</v>
      </c>
      <c r="CH481">
        <v>1</v>
      </c>
      <c r="CQ481">
        <v>1</v>
      </c>
    </row>
    <row r="482" spans="1:95" x14ac:dyDescent="0.25">
      <c r="A482" t="s">
        <v>1091</v>
      </c>
      <c r="B482" t="s">
        <v>1092</v>
      </c>
      <c r="C482">
        <v>1000</v>
      </c>
      <c r="D482" t="s">
        <v>111</v>
      </c>
      <c r="E482">
        <v>25</v>
      </c>
      <c r="I482">
        <v>75</v>
      </c>
      <c r="J482">
        <f t="shared" si="14"/>
        <v>9.25</v>
      </c>
      <c r="K482">
        <f t="shared" si="15"/>
        <v>-0.56233514461880829</v>
      </c>
      <c r="L482">
        <v>33724.698129999997</v>
      </c>
      <c r="M482">
        <v>1</v>
      </c>
      <c r="R482">
        <v>53787.778899999998</v>
      </c>
      <c r="AJ482">
        <v>1</v>
      </c>
      <c r="CH482">
        <v>0</v>
      </c>
    </row>
    <row r="483" spans="1:95" x14ac:dyDescent="0.25">
      <c r="A483" t="s">
        <v>1093</v>
      </c>
      <c r="B483" t="s">
        <v>1094</v>
      </c>
      <c r="C483">
        <v>1000</v>
      </c>
      <c r="D483" t="s">
        <v>111</v>
      </c>
      <c r="E483">
        <v>12.5</v>
      </c>
      <c r="F483">
        <v>12.5</v>
      </c>
      <c r="I483">
        <v>75</v>
      </c>
      <c r="J483">
        <f t="shared" si="14"/>
        <v>8.875</v>
      </c>
      <c r="K483">
        <f t="shared" si="15"/>
        <v>-0.73562193975879464</v>
      </c>
      <c r="L483">
        <v>33537.602769999998</v>
      </c>
      <c r="M483">
        <v>1</v>
      </c>
      <c r="R483">
        <v>40516.826500000003</v>
      </c>
      <c r="S483">
        <v>332457.94709999999</v>
      </c>
      <c r="AI483">
        <v>0</v>
      </c>
      <c r="AJ483">
        <v>0.57434285890000003</v>
      </c>
      <c r="AM483">
        <v>0</v>
      </c>
      <c r="AN483">
        <v>-0.81861514769999999</v>
      </c>
      <c r="CH483">
        <v>-0.81861485479999996</v>
      </c>
      <c r="CI483">
        <v>-0.57434244140000001</v>
      </c>
    </row>
    <row r="484" spans="1:95" x14ac:dyDescent="0.25">
      <c r="A484" t="s">
        <v>1095</v>
      </c>
      <c r="B484" t="s">
        <v>1096</v>
      </c>
      <c r="C484">
        <v>1000</v>
      </c>
      <c r="D484" t="s">
        <v>111</v>
      </c>
      <c r="F484">
        <v>25</v>
      </c>
      <c r="I484">
        <v>75</v>
      </c>
      <c r="J484">
        <f t="shared" si="14"/>
        <v>8.5</v>
      </c>
      <c r="K484">
        <f t="shared" si="15"/>
        <v>-0.56233514461880829</v>
      </c>
      <c r="L484">
        <v>33080.372560000003</v>
      </c>
      <c r="M484">
        <v>1</v>
      </c>
      <c r="R484">
        <v>108026.26489999999</v>
      </c>
      <c r="AI484">
        <v>0</v>
      </c>
      <c r="CH484">
        <v>1</v>
      </c>
    </row>
    <row r="485" spans="1:95" x14ac:dyDescent="0.25">
      <c r="A485" t="s">
        <v>1097</v>
      </c>
      <c r="B485" t="s">
        <v>1098</v>
      </c>
      <c r="C485">
        <v>1000</v>
      </c>
      <c r="D485" t="s">
        <v>111</v>
      </c>
      <c r="E485">
        <v>12.5</v>
      </c>
      <c r="G485">
        <v>12.5</v>
      </c>
      <c r="I485">
        <v>75</v>
      </c>
      <c r="J485">
        <f t="shared" si="14"/>
        <v>9</v>
      </c>
      <c r="K485">
        <f t="shared" si="15"/>
        <v>-0.73562193975879464</v>
      </c>
      <c r="L485">
        <v>33770.609420000001</v>
      </c>
      <c r="M485">
        <v>1</v>
      </c>
      <c r="R485">
        <v>42179.815560000003</v>
      </c>
      <c r="S485">
        <v>263939.31550000003</v>
      </c>
      <c r="AJ485">
        <v>0.60317096810000004</v>
      </c>
      <c r="AK485">
        <v>0</v>
      </c>
      <c r="AL485">
        <v>0</v>
      </c>
      <c r="AN485">
        <v>-0.79761199039999997</v>
      </c>
      <c r="CH485">
        <v>-0.79761192520000002</v>
      </c>
      <c r="CI485">
        <v>-0.60317088200000002</v>
      </c>
    </row>
    <row r="486" spans="1:95" x14ac:dyDescent="0.25">
      <c r="A486" t="s">
        <v>1099</v>
      </c>
      <c r="B486" t="s">
        <v>1100</v>
      </c>
      <c r="C486">
        <v>1000</v>
      </c>
      <c r="D486" t="s">
        <v>111</v>
      </c>
      <c r="F486">
        <v>12.5</v>
      </c>
      <c r="G486">
        <v>12.5</v>
      </c>
      <c r="I486">
        <v>75</v>
      </c>
      <c r="J486">
        <f t="shared" si="14"/>
        <v>8.625</v>
      </c>
      <c r="K486">
        <f t="shared" si="15"/>
        <v>-0.73562193975879464</v>
      </c>
      <c r="L486">
        <v>34473.303670000001</v>
      </c>
      <c r="M486">
        <v>1</v>
      </c>
      <c r="R486">
        <v>56039.991730000002</v>
      </c>
      <c r="S486">
        <v>224079.23939999999</v>
      </c>
      <c r="AI486">
        <v>0</v>
      </c>
      <c r="AK486">
        <v>-0.64774321950000002</v>
      </c>
      <c r="AL486">
        <v>0.76185945180000003</v>
      </c>
      <c r="AM486">
        <v>0</v>
      </c>
      <c r="CH486">
        <v>0.76185872809999999</v>
      </c>
      <c r="CI486">
        <v>0.64774236829999998</v>
      </c>
    </row>
    <row r="487" spans="1:95" x14ac:dyDescent="0.25">
      <c r="A487" t="s">
        <v>1101</v>
      </c>
      <c r="B487" t="s">
        <v>1102</v>
      </c>
      <c r="C487">
        <v>1000</v>
      </c>
      <c r="D487" t="s">
        <v>111</v>
      </c>
      <c r="G487">
        <v>25</v>
      </c>
      <c r="I487">
        <v>75</v>
      </c>
      <c r="J487">
        <f t="shared" si="14"/>
        <v>8.75</v>
      </c>
      <c r="K487">
        <f t="shared" si="15"/>
        <v>-0.56233514461880829</v>
      </c>
      <c r="L487">
        <v>34865.383849999998</v>
      </c>
      <c r="M487">
        <v>1</v>
      </c>
      <c r="R487">
        <v>71492.900179999997</v>
      </c>
      <c r="AK487">
        <v>0</v>
      </c>
      <c r="CH487">
        <v>1</v>
      </c>
    </row>
    <row r="488" spans="1:95" x14ac:dyDescent="0.25">
      <c r="A488" t="s">
        <v>1103</v>
      </c>
      <c r="B488" t="s">
        <v>1104</v>
      </c>
      <c r="C488">
        <v>1000</v>
      </c>
      <c r="D488" t="s">
        <v>111</v>
      </c>
      <c r="E488">
        <v>12.5</v>
      </c>
      <c r="H488">
        <v>12.5</v>
      </c>
      <c r="I488">
        <v>75</v>
      </c>
      <c r="J488">
        <f t="shared" si="14"/>
        <v>8.75</v>
      </c>
      <c r="K488">
        <f t="shared" si="15"/>
        <v>-0.73562193975879464</v>
      </c>
      <c r="L488">
        <v>36138.605680000001</v>
      </c>
      <c r="M488">
        <v>1</v>
      </c>
      <c r="R488">
        <v>38138.75333</v>
      </c>
      <c r="S488">
        <v>331736.16759999999</v>
      </c>
      <c r="AJ488">
        <v>0.52478003409999996</v>
      </c>
      <c r="AN488">
        <v>-0.85123814480000004</v>
      </c>
      <c r="AS488">
        <v>0</v>
      </c>
      <c r="AT488">
        <v>0</v>
      </c>
      <c r="CH488">
        <v>-0.85123787259999995</v>
      </c>
      <c r="CI488">
        <v>-0.52477959259999996</v>
      </c>
    </row>
    <row r="489" spans="1:95" x14ac:dyDescent="0.25">
      <c r="A489" t="s">
        <v>1105</v>
      </c>
      <c r="B489" t="s">
        <v>1106</v>
      </c>
      <c r="C489">
        <v>1000</v>
      </c>
      <c r="D489" t="s">
        <v>111</v>
      </c>
      <c r="F489">
        <v>12.5</v>
      </c>
      <c r="H489">
        <v>12.5</v>
      </c>
      <c r="I489">
        <v>75</v>
      </c>
      <c r="J489">
        <f t="shared" si="14"/>
        <v>8.375</v>
      </c>
      <c r="K489">
        <f t="shared" si="15"/>
        <v>-0.73562193975879464</v>
      </c>
      <c r="L489">
        <v>34588.575369999999</v>
      </c>
      <c r="M489">
        <v>1</v>
      </c>
      <c r="R489">
        <v>69898.358489999999</v>
      </c>
      <c r="S489">
        <v>269081.92700000003</v>
      </c>
      <c r="AI489">
        <v>-0.52594634520000005</v>
      </c>
      <c r="AM489">
        <v>0.85051763329999996</v>
      </c>
      <c r="AS489">
        <v>0</v>
      </c>
      <c r="AT489">
        <v>0</v>
      </c>
      <c r="CH489">
        <v>0.85051774930000001</v>
      </c>
      <c r="CI489">
        <v>0.52594653280000003</v>
      </c>
    </row>
    <row r="490" spans="1:95" x14ac:dyDescent="0.25">
      <c r="A490" t="s">
        <v>1107</v>
      </c>
      <c r="B490" t="s">
        <v>1108</v>
      </c>
      <c r="C490">
        <v>1000</v>
      </c>
      <c r="D490" t="s">
        <v>111</v>
      </c>
      <c r="G490">
        <v>12.5</v>
      </c>
      <c r="H490">
        <v>12.5</v>
      </c>
      <c r="I490">
        <v>75</v>
      </c>
      <c r="J490">
        <f t="shared" si="14"/>
        <v>8.5</v>
      </c>
      <c r="K490">
        <f t="shared" si="15"/>
        <v>-0.73562193975879464</v>
      </c>
      <c r="L490">
        <v>37038.432150000001</v>
      </c>
      <c r="M490">
        <v>1</v>
      </c>
      <c r="R490">
        <v>52560.987589999997</v>
      </c>
      <c r="S490">
        <v>240570.74479999999</v>
      </c>
      <c r="AK490">
        <v>-0.54058753940000004</v>
      </c>
      <c r="AL490">
        <v>0.8412881673</v>
      </c>
      <c r="AS490">
        <v>0</v>
      </c>
      <c r="AT490">
        <v>0</v>
      </c>
      <c r="CH490">
        <v>0.84128777020000001</v>
      </c>
      <c r="CI490">
        <v>0.54058692139999998</v>
      </c>
    </row>
    <row r="491" spans="1:95" x14ac:dyDescent="0.25">
      <c r="A491" t="s">
        <v>1109</v>
      </c>
      <c r="B491" t="s">
        <v>1110</v>
      </c>
      <c r="C491">
        <v>1000</v>
      </c>
      <c r="D491" t="s">
        <v>111</v>
      </c>
      <c r="H491">
        <v>25</v>
      </c>
      <c r="I491">
        <v>75</v>
      </c>
      <c r="J491">
        <f t="shared" si="14"/>
        <v>8.25</v>
      </c>
      <c r="K491">
        <f t="shared" si="15"/>
        <v>-0.56233514461880829</v>
      </c>
      <c r="L491">
        <v>37617.249360000002</v>
      </c>
      <c r="M491">
        <v>1</v>
      </c>
      <c r="R491">
        <v>76575.309030000004</v>
      </c>
      <c r="AS491">
        <v>0</v>
      </c>
      <c r="CH491">
        <v>1</v>
      </c>
    </row>
    <row r="492" spans="1:95" x14ac:dyDescent="0.25">
      <c r="A492" t="s">
        <v>1111</v>
      </c>
      <c r="B492" t="s">
        <v>1112</v>
      </c>
      <c r="C492">
        <v>1000</v>
      </c>
      <c r="D492" t="s">
        <v>111</v>
      </c>
      <c r="E492">
        <v>12.5</v>
      </c>
      <c r="I492">
        <v>87.5</v>
      </c>
      <c r="J492">
        <f t="shared" si="14"/>
        <v>9.125</v>
      </c>
      <c r="K492">
        <f t="shared" si="15"/>
        <v>-0.37677016125643675</v>
      </c>
      <c r="L492">
        <v>33230.351049999997</v>
      </c>
      <c r="M492">
        <v>1</v>
      </c>
      <c r="R492">
        <v>93958.996379999997</v>
      </c>
      <c r="AJ492">
        <v>1</v>
      </c>
      <c r="CH492">
        <v>0</v>
      </c>
    </row>
    <row r="493" spans="1:95" x14ac:dyDescent="0.25">
      <c r="A493" t="s">
        <v>1113</v>
      </c>
      <c r="B493" t="s">
        <v>1114</v>
      </c>
      <c r="C493">
        <v>1000</v>
      </c>
      <c r="D493" t="s">
        <v>111</v>
      </c>
      <c r="F493">
        <v>12.5</v>
      </c>
      <c r="I493">
        <v>87.5</v>
      </c>
      <c r="J493">
        <f t="shared" si="14"/>
        <v>8.75</v>
      </c>
      <c r="K493">
        <f t="shared" si="15"/>
        <v>-0.37677016125643675</v>
      </c>
      <c r="L493">
        <v>34525.298439999999</v>
      </c>
      <c r="M493">
        <v>1</v>
      </c>
      <c r="R493">
        <v>121868.43640000001</v>
      </c>
      <c r="AI493">
        <v>0</v>
      </c>
      <c r="CH493">
        <v>1</v>
      </c>
    </row>
    <row r="494" spans="1:95" x14ac:dyDescent="0.25">
      <c r="A494" t="s">
        <v>1115</v>
      </c>
      <c r="B494" t="s">
        <v>1116</v>
      </c>
      <c r="C494">
        <v>1000</v>
      </c>
      <c r="D494" t="s">
        <v>111</v>
      </c>
      <c r="G494">
        <v>12.5</v>
      </c>
      <c r="I494">
        <v>87.5</v>
      </c>
      <c r="J494">
        <f t="shared" si="14"/>
        <v>8.875</v>
      </c>
      <c r="K494">
        <f t="shared" si="15"/>
        <v>-0.37677016125643675</v>
      </c>
      <c r="L494">
        <v>33718.46112</v>
      </c>
      <c r="M494">
        <v>1</v>
      </c>
      <c r="R494">
        <v>114895.5227</v>
      </c>
      <c r="AK494">
        <v>0</v>
      </c>
      <c r="CH494">
        <v>1</v>
      </c>
    </row>
    <row r="495" spans="1:95" x14ac:dyDescent="0.25">
      <c r="A495" t="s">
        <v>1117</v>
      </c>
      <c r="B495" t="s">
        <v>1118</v>
      </c>
      <c r="C495">
        <v>1000</v>
      </c>
      <c r="D495" t="s">
        <v>111</v>
      </c>
      <c r="H495">
        <v>12.5</v>
      </c>
      <c r="I495">
        <v>87.5</v>
      </c>
      <c r="J495">
        <f t="shared" si="14"/>
        <v>8.625</v>
      </c>
      <c r="K495">
        <f t="shared" si="15"/>
        <v>-0.37677016125643675</v>
      </c>
      <c r="L495">
        <v>37505.50834</v>
      </c>
      <c r="M495">
        <v>1</v>
      </c>
      <c r="R495">
        <v>93323.580870000005</v>
      </c>
      <c r="AS495">
        <v>0</v>
      </c>
      <c r="CH495">
        <v>1</v>
      </c>
    </row>
    <row r="496" spans="1:95" x14ac:dyDescent="0.25">
      <c r="A496" t="s">
        <v>1119</v>
      </c>
      <c r="B496" t="s">
        <v>1120</v>
      </c>
      <c r="C496">
        <v>1000</v>
      </c>
      <c r="D496" t="s">
        <v>111</v>
      </c>
      <c r="I496">
        <v>100</v>
      </c>
      <c r="J496">
        <f t="shared" si="14"/>
        <v>9</v>
      </c>
      <c r="K496">
        <f t="shared" si="15"/>
        <v>0</v>
      </c>
      <c r="L496">
        <v>33203.414490000003</v>
      </c>
      <c r="M496">
        <v>1</v>
      </c>
    </row>
  </sheetData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table_output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user1</dc:creator>
  <cp:lastModifiedBy>Kayque Rodrigues</cp:lastModifiedBy>
  <dcterms:created xsi:type="dcterms:W3CDTF">2022-09-25T11:55:43Z</dcterms:created>
  <dcterms:modified xsi:type="dcterms:W3CDTF">2022-10-09T14:58:13Z</dcterms:modified>
</cp:coreProperties>
</file>